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D:\documentos\engenharia\projetos\DadosWeb\"/>
    </mc:Choice>
  </mc:AlternateContent>
  <bookViews>
    <workbookView xWindow="0" yWindow="0" windowWidth="19470" windowHeight="8205" activeTab="1"/>
  </bookViews>
  <sheets>
    <sheet name="principal" sheetId="1" r:id="rId1"/>
    <sheet name="Afiliados" sheetId="4" r:id="rId2"/>
    <sheet name="sem reds" sheetId="3" r:id="rId3"/>
    <sheet name="com reds" sheetId="2" r:id="rId4"/>
    <sheet name="+-2.5" sheetId="7" r:id="rId5"/>
    <sheet name="GRAFICOS" sheetId="8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8" l="1"/>
  <c r="N2" i="8"/>
  <c r="M3" i="8"/>
  <c r="N3" i="8"/>
  <c r="M4" i="8"/>
  <c r="N4" i="8"/>
  <c r="M5" i="8"/>
  <c r="N5" i="8"/>
  <c r="M6" i="8"/>
  <c r="N6" i="8"/>
  <c r="M7" i="8"/>
  <c r="N7" i="8"/>
  <c r="M8" i="8"/>
  <c r="N8" i="8"/>
  <c r="M9" i="8"/>
  <c r="N9" i="8"/>
  <c r="M10" i="8"/>
  <c r="N10" i="8"/>
  <c r="M11" i="8"/>
  <c r="N11" i="8"/>
  <c r="M12" i="8"/>
  <c r="N12" i="8"/>
  <c r="M13" i="8"/>
  <c r="N13" i="8"/>
  <c r="M14" i="8"/>
  <c r="N14" i="8"/>
  <c r="M15" i="8"/>
  <c r="N15" i="8"/>
  <c r="M16" i="8"/>
  <c r="N16" i="8"/>
  <c r="M17" i="8"/>
  <c r="N17" i="8"/>
  <c r="M18" i="8"/>
  <c r="N18" i="8"/>
  <c r="L3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2" i="8"/>
  <c r="H2" i="1" l="1"/>
  <c r="B2" i="3" l="1"/>
  <c r="H2" i="4"/>
  <c r="A2" i="1" s="1"/>
  <c r="B3" i="1" s="1"/>
  <c r="B1" i="2" l="1"/>
  <c r="G4" i="1"/>
  <c r="G5" i="1"/>
  <c r="B1" i="3"/>
  <c r="E2" i="3" s="1"/>
  <c r="E3" i="3" s="1"/>
  <c r="E4" i="3" s="1"/>
  <c r="E5" i="3" s="1"/>
  <c r="E6" i="3" s="1"/>
  <c r="E7" i="3" s="1"/>
  <c r="E8" i="3" s="1"/>
  <c r="E9" i="3" s="1"/>
  <c r="E10" i="3" s="1"/>
  <c r="E11" i="3" s="1"/>
  <c r="E12" i="3" s="1"/>
  <c r="E13" i="3" s="1"/>
  <c r="H2" i="3" s="1"/>
  <c r="H3" i="3" s="1"/>
  <c r="H4" i="3" s="1"/>
  <c r="H5" i="3" s="1"/>
  <c r="H6" i="3" s="1"/>
  <c r="H7" i="3" s="1"/>
  <c r="H8" i="3" s="1"/>
  <c r="H9" i="3" s="1"/>
  <c r="H10" i="3" s="1"/>
  <c r="H11" i="3" s="1"/>
  <c r="H12" i="3" s="1"/>
  <c r="H13" i="3" s="1"/>
  <c r="D2" i="1"/>
  <c r="B4" i="1" s="1"/>
  <c r="C4" i="1" s="1"/>
  <c r="D4" i="1" s="1"/>
  <c r="B5" i="1" s="1"/>
  <c r="G6" i="1" l="1"/>
  <c r="H6" i="1" s="1"/>
  <c r="F13" i="3"/>
  <c r="I13" i="3"/>
  <c r="K2" i="3"/>
  <c r="K3" i="3" s="1"/>
  <c r="K4" i="3" s="1"/>
  <c r="K5" i="3" s="1"/>
  <c r="K6" i="3" s="1"/>
  <c r="K7" i="3" s="1"/>
  <c r="K8" i="3" s="1"/>
  <c r="K9" i="3" s="1"/>
  <c r="K10" i="3" s="1"/>
  <c r="K11" i="3" s="1"/>
  <c r="K12" i="3" s="1"/>
  <c r="K13" i="3" s="1"/>
  <c r="C5" i="1"/>
  <c r="D5" i="1" s="1"/>
  <c r="B6" i="1" s="1"/>
  <c r="A2" i="4" l="1"/>
  <c r="B2" i="2"/>
  <c r="L13" i="3"/>
  <c r="N2" i="3"/>
  <c r="N3" i="3" s="1"/>
  <c r="N4" i="3" s="1"/>
  <c r="N5" i="3" s="1"/>
  <c r="N6" i="3" s="1"/>
  <c r="N7" i="3" s="1"/>
  <c r="N8" i="3" s="1"/>
  <c r="N9" i="3" s="1"/>
  <c r="N10" i="3" s="1"/>
  <c r="N11" i="3" s="1"/>
  <c r="N12" i="3" s="1"/>
  <c r="N13" i="3" s="1"/>
  <c r="O13" i="3" s="1"/>
  <c r="C6" i="1"/>
  <c r="D6" i="1" s="1"/>
  <c r="B7" i="1" s="1"/>
  <c r="D5" i="4" l="1"/>
  <c r="C5" i="4"/>
  <c r="E2" i="2"/>
  <c r="E3" i="2" s="1"/>
  <c r="E4" i="2" s="1"/>
  <c r="E5" i="2" s="1"/>
  <c r="E6" i="2" s="1"/>
  <c r="E7" i="2" s="1"/>
  <c r="E8" i="2" s="1"/>
  <c r="E9" i="2" s="1"/>
  <c r="E10" i="2" s="1"/>
  <c r="E11" i="2" s="1"/>
  <c r="E12" i="2" s="1"/>
  <c r="E13" i="2" s="1"/>
  <c r="G5" i="4"/>
  <c r="G6" i="4" s="1"/>
  <c r="E5" i="4"/>
  <c r="F5" i="4"/>
  <c r="F6" i="4" s="1"/>
  <c r="D6" i="4"/>
  <c r="C6" i="4"/>
  <c r="E6" i="4"/>
  <c r="C7" i="1"/>
  <c r="D7" i="1" s="1"/>
  <c r="B8" i="1" s="1"/>
  <c r="F13" i="2" l="1"/>
  <c r="G7" i="1"/>
  <c r="H7" i="1" s="1"/>
  <c r="A4" i="4" s="1"/>
  <c r="D9" i="4" s="1"/>
  <c r="D10" i="4" s="1"/>
  <c r="H2" i="2"/>
  <c r="H3" i="2" s="1"/>
  <c r="H4" i="2" s="1"/>
  <c r="H5" i="2" s="1"/>
  <c r="H6" i="2" s="1"/>
  <c r="H7" i="2" s="1"/>
  <c r="H8" i="2" s="1"/>
  <c r="H9" i="2" s="1"/>
  <c r="H10" i="2" s="1"/>
  <c r="H11" i="2" s="1"/>
  <c r="H12" i="2" s="1"/>
  <c r="H13" i="2" s="1"/>
  <c r="I13" i="2" s="1"/>
  <c r="F9" i="4"/>
  <c r="F10" i="4" s="1"/>
  <c r="H5" i="4"/>
  <c r="B5" i="4" s="1"/>
  <c r="B6" i="4" s="1"/>
  <c r="C8" i="1"/>
  <c r="D8" i="1" s="1"/>
  <c r="B9" i="1" s="1"/>
  <c r="K2" i="2" l="1"/>
  <c r="K3" i="2" s="1"/>
  <c r="K4" i="2" s="1"/>
  <c r="K5" i="2" s="1"/>
  <c r="K6" i="2" s="1"/>
  <c r="K7" i="2" s="1"/>
  <c r="K8" i="2" s="1"/>
  <c r="K9" i="2" s="1"/>
  <c r="K10" i="2" s="1"/>
  <c r="K11" i="2" s="1"/>
  <c r="K12" i="2" s="1"/>
  <c r="K13" i="2" s="1"/>
  <c r="L13" i="2" s="1"/>
  <c r="C9" i="4"/>
  <c r="C10" i="4" s="1"/>
  <c r="G9" i="4"/>
  <c r="G10" i="4" s="1"/>
  <c r="E9" i="4"/>
  <c r="E10" i="4" s="1"/>
  <c r="N2" i="2"/>
  <c r="N3" i="2" s="1"/>
  <c r="N4" i="2" s="1"/>
  <c r="N5" i="2" s="1"/>
  <c r="N6" i="2" s="1"/>
  <c r="N7" i="2" s="1"/>
  <c r="N8" i="2" s="1"/>
  <c r="N9" i="2" s="1"/>
  <c r="N10" i="2" s="1"/>
  <c r="N11" i="2" s="1"/>
  <c r="N12" i="2" s="1"/>
  <c r="N13" i="2" s="1"/>
  <c r="C9" i="1"/>
  <c r="D9" i="1" s="1"/>
  <c r="B10" i="1" s="1"/>
  <c r="H9" i="4" l="1"/>
  <c r="B9" i="4" s="1"/>
  <c r="B10" i="4" s="1"/>
  <c r="Q2" i="2"/>
  <c r="Q3" i="2" s="1"/>
  <c r="Q4" i="2" s="1"/>
  <c r="Q5" i="2" s="1"/>
  <c r="Q6" i="2" s="1"/>
  <c r="Q7" i="2" s="1"/>
  <c r="Q8" i="2" s="1"/>
  <c r="Q9" i="2" s="1"/>
  <c r="Q10" i="2" s="1"/>
  <c r="Q11" i="2" s="1"/>
  <c r="Q12" i="2" s="1"/>
  <c r="Q13" i="2" s="1"/>
  <c r="O13" i="2"/>
  <c r="C10" i="1"/>
  <c r="D10" i="1" s="1"/>
  <c r="B11" i="1" s="1"/>
  <c r="R13" i="2" l="1"/>
  <c r="C11" i="1"/>
  <c r="D11" i="1" s="1"/>
  <c r="B12" i="1" s="1"/>
  <c r="C12" i="1" l="1"/>
  <c r="D12" i="1" s="1"/>
  <c r="B13" i="1" s="1"/>
  <c r="C13" i="1" l="1"/>
  <c r="D13" i="1" s="1"/>
  <c r="B14" i="1" s="1"/>
  <c r="C14" i="1" l="1"/>
  <c r="D14" i="1" s="1"/>
  <c r="B15" i="1" s="1"/>
  <c r="C15" i="1" l="1"/>
  <c r="D15" i="1" s="1"/>
  <c r="B16" i="1" s="1"/>
  <c r="C16" i="1" l="1"/>
  <c r="D16" i="1" s="1"/>
  <c r="B17" i="1" s="1"/>
  <c r="C17" i="1" l="1"/>
  <c r="D17" i="1" s="1"/>
  <c r="B18" i="1" s="1"/>
  <c r="C18" i="1" l="1"/>
  <c r="D18" i="1" s="1"/>
  <c r="B19" i="1" s="1"/>
  <c r="C19" i="1" l="1"/>
  <c r="D19" i="1" s="1"/>
  <c r="B20" i="1" s="1"/>
  <c r="C20" i="1" l="1"/>
  <c r="D20" i="1" s="1"/>
  <c r="B21" i="1" s="1"/>
  <c r="C21" i="1" l="1"/>
  <c r="D21" i="1" s="1"/>
  <c r="B22" i="1" s="1"/>
  <c r="C22" i="1" l="1"/>
  <c r="D22" i="1" s="1"/>
  <c r="B23" i="1" s="1"/>
  <c r="C23" i="1" l="1"/>
  <c r="D23" i="1" s="1"/>
  <c r="B24" i="1" s="1"/>
  <c r="C24" i="1" l="1"/>
  <c r="D24" i="1" s="1"/>
  <c r="B25" i="1" s="1"/>
  <c r="C25" i="1" l="1"/>
  <c r="D25" i="1" s="1"/>
  <c r="B26" i="1" s="1"/>
  <c r="C26" i="1" l="1"/>
  <c r="D26" i="1" s="1"/>
  <c r="B27" i="1" s="1"/>
  <c r="C27" i="1" l="1"/>
  <c r="D27" i="1" s="1"/>
  <c r="B28" i="1" s="1"/>
  <c r="C28" i="1" l="1"/>
  <c r="D28" i="1" s="1"/>
  <c r="B29" i="1" s="1"/>
  <c r="C29" i="1" l="1"/>
  <c r="D29" i="1" s="1"/>
  <c r="B30" i="1" s="1"/>
  <c r="C30" i="1" l="1"/>
  <c r="D30" i="1" s="1"/>
  <c r="B31" i="1" s="1"/>
  <c r="C31" i="1" l="1"/>
  <c r="D31" i="1" s="1"/>
  <c r="B32" i="1" s="1"/>
  <c r="C32" i="1" l="1"/>
  <c r="D32" i="1" s="1"/>
  <c r="B33" i="1" s="1"/>
  <c r="C33" i="1" l="1"/>
  <c r="D33" i="1" s="1"/>
  <c r="B34" i="1" s="1"/>
  <c r="C34" i="1" l="1"/>
  <c r="D34" i="1" s="1"/>
  <c r="B35" i="1" s="1"/>
  <c r="C35" i="1" l="1"/>
  <c r="D35" i="1" s="1"/>
  <c r="B36" i="1" s="1"/>
  <c r="C36" i="1" l="1"/>
  <c r="D36" i="1" s="1"/>
  <c r="B37" i="1" s="1"/>
  <c r="C37" i="1" l="1"/>
  <c r="D37" i="1" s="1"/>
  <c r="B38" i="1" s="1"/>
  <c r="C38" i="1" l="1"/>
  <c r="D38" i="1" s="1"/>
  <c r="B39" i="1" s="1"/>
  <c r="C39" i="1" l="1"/>
  <c r="D39" i="1" s="1"/>
  <c r="B40" i="1" s="1"/>
  <c r="C40" i="1" l="1"/>
  <c r="D40" i="1" s="1"/>
  <c r="B41" i="1" s="1"/>
  <c r="C41" i="1" l="1"/>
  <c r="D41" i="1" s="1"/>
  <c r="B42" i="1" s="1"/>
  <c r="C42" i="1" l="1"/>
  <c r="D42" i="1" s="1"/>
  <c r="B43" i="1" s="1"/>
  <c r="C43" i="1" l="1"/>
  <c r="D43" i="1" s="1"/>
  <c r="B44" i="1" s="1"/>
  <c r="C44" i="1" l="1"/>
  <c r="D44" i="1" s="1"/>
  <c r="B45" i="1" s="1"/>
  <c r="C45" i="1" l="1"/>
  <c r="D45" i="1" s="1"/>
  <c r="B46" i="1" s="1"/>
  <c r="C46" i="1" l="1"/>
  <c r="D46" i="1" s="1"/>
  <c r="B47" i="1" s="1"/>
  <c r="C47" i="1" l="1"/>
  <c r="D47" i="1" s="1"/>
  <c r="B48" i="1" s="1"/>
  <c r="C48" i="1" l="1"/>
  <c r="D48" i="1" s="1"/>
  <c r="B49" i="1" s="1"/>
  <c r="C49" i="1" l="1"/>
  <c r="D49" i="1" s="1"/>
  <c r="B50" i="1" s="1"/>
  <c r="C50" i="1" l="1"/>
  <c r="D50" i="1" s="1"/>
  <c r="B51" i="1" s="1"/>
  <c r="C51" i="1" l="1"/>
  <c r="D51" i="1" s="1"/>
  <c r="B52" i="1" s="1"/>
  <c r="C52" i="1" l="1"/>
  <c r="D52" i="1" s="1"/>
  <c r="B53" i="1" s="1"/>
  <c r="C53" i="1" l="1"/>
  <c r="D53" i="1" s="1"/>
  <c r="B54" i="1" s="1"/>
  <c r="C54" i="1" l="1"/>
  <c r="D54" i="1" s="1"/>
  <c r="B55" i="1" s="1"/>
  <c r="C55" i="1" l="1"/>
  <c r="D55" i="1" s="1"/>
  <c r="B56" i="1" s="1"/>
  <c r="C56" i="1" l="1"/>
  <c r="D56" i="1" s="1"/>
  <c r="B57" i="1" s="1"/>
  <c r="C57" i="1" l="1"/>
  <c r="D57" i="1" s="1"/>
  <c r="B58" i="1" s="1"/>
  <c r="C58" i="1" l="1"/>
  <c r="D58" i="1" s="1"/>
  <c r="B59" i="1" s="1"/>
  <c r="C59" i="1" l="1"/>
  <c r="D59" i="1" s="1"/>
  <c r="B60" i="1" s="1"/>
  <c r="C60" i="1" l="1"/>
  <c r="D60" i="1" s="1"/>
  <c r="B61" i="1" s="1"/>
  <c r="C61" i="1" l="1"/>
  <c r="D61" i="1" s="1"/>
  <c r="B62" i="1" s="1"/>
  <c r="C62" i="1" l="1"/>
  <c r="D62" i="1" s="1"/>
  <c r="B63" i="1" s="1"/>
  <c r="C63" i="1" l="1"/>
  <c r="D63" i="1" s="1"/>
  <c r="B64" i="1" s="1"/>
  <c r="C64" i="1" l="1"/>
  <c r="D64" i="1" s="1"/>
  <c r="B65" i="1" s="1"/>
  <c r="C65" i="1" l="1"/>
  <c r="D65" i="1" s="1"/>
  <c r="B66" i="1" s="1"/>
  <c r="C66" i="1" l="1"/>
  <c r="D66" i="1" s="1"/>
  <c r="B67" i="1" s="1"/>
  <c r="C67" i="1" l="1"/>
  <c r="D67" i="1" s="1"/>
  <c r="B68" i="1" s="1"/>
  <c r="C68" i="1" l="1"/>
  <c r="D68" i="1" s="1"/>
  <c r="B69" i="1" s="1"/>
  <c r="C69" i="1" l="1"/>
  <c r="D69" i="1" s="1"/>
  <c r="B70" i="1" s="1"/>
  <c r="C70" i="1" l="1"/>
  <c r="D70" i="1" s="1"/>
  <c r="B71" i="1" s="1"/>
  <c r="C71" i="1" l="1"/>
  <c r="D71" i="1" s="1"/>
  <c r="B72" i="1" s="1"/>
  <c r="C72" i="1" l="1"/>
  <c r="D72" i="1" s="1"/>
  <c r="B73" i="1" s="1"/>
  <c r="C73" i="1" l="1"/>
  <c r="D73" i="1" s="1"/>
  <c r="B74" i="1" s="1"/>
  <c r="C74" i="1" l="1"/>
  <c r="D74" i="1" s="1"/>
  <c r="B75" i="1" s="1"/>
  <c r="C75" i="1" l="1"/>
  <c r="D75" i="1" s="1"/>
  <c r="B76" i="1" s="1"/>
  <c r="C76" i="1" l="1"/>
  <c r="D76" i="1" s="1"/>
  <c r="B77" i="1" s="1"/>
  <c r="C77" i="1" l="1"/>
  <c r="D77" i="1" s="1"/>
  <c r="B78" i="1" s="1"/>
  <c r="C78" i="1" l="1"/>
  <c r="D78" i="1" s="1"/>
  <c r="B79" i="1" s="1"/>
  <c r="C79" i="1" l="1"/>
  <c r="D79" i="1" s="1"/>
  <c r="B80" i="1" s="1"/>
  <c r="C80" i="1" l="1"/>
  <c r="D80" i="1" s="1"/>
  <c r="B81" i="1" s="1"/>
  <c r="C81" i="1" l="1"/>
  <c r="D81" i="1" s="1"/>
  <c r="B82" i="1" s="1"/>
  <c r="C82" i="1" l="1"/>
  <c r="D82" i="1" s="1"/>
  <c r="B83" i="1" s="1"/>
  <c r="C83" i="1" l="1"/>
  <c r="D83" i="1" s="1"/>
  <c r="B84" i="1" s="1"/>
  <c r="C84" i="1" l="1"/>
  <c r="D84" i="1" s="1"/>
  <c r="B85" i="1" s="1"/>
  <c r="C85" i="1" l="1"/>
  <c r="D85" i="1" s="1"/>
  <c r="B86" i="1" s="1"/>
  <c r="C86" i="1" l="1"/>
  <c r="D86" i="1" s="1"/>
  <c r="B87" i="1" s="1"/>
  <c r="C87" i="1" l="1"/>
  <c r="D87" i="1" s="1"/>
  <c r="B88" i="1" s="1"/>
  <c r="C88" i="1" l="1"/>
  <c r="D88" i="1" s="1"/>
  <c r="B89" i="1" s="1"/>
  <c r="C89" i="1" l="1"/>
  <c r="D89" i="1" s="1"/>
  <c r="B90" i="1" s="1"/>
  <c r="C90" i="1" l="1"/>
  <c r="D90" i="1" s="1"/>
  <c r="B91" i="1" s="1"/>
  <c r="C91" i="1" l="1"/>
  <c r="D91" i="1" s="1"/>
  <c r="B92" i="1" s="1"/>
  <c r="C92" i="1" l="1"/>
  <c r="D92" i="1" s="1"/>
  <c r="B93" i="1" s="1"/>
  <c r="C93" i="1" l="1"/>
  <c r="D93" i="1" s="1"/>
  <c r="B94" i="1" s="1"/>
  <c r="C94" i="1" l="1"/>
  <c r="D94" i="1" s="1"/>
  <c r="B95" i="1" s="1"/>
  <c r="C95" i="1" l="1"/>
  <c r="D95" i="1" s="1"/>
  <c r="B96" i="1" s="1"/>
  <c r="C96" i="1" l="1"/>
  <c r="D96" i="1" s="1"/>
  <c r="B97" i="1" s="1"/>
  <c r="C97" i="1" l="1"/>
  <c r="D97" i="1" s="1"/>
  <c r="B98" i="1" s="1"/>
  <c r="C98" i="1" l="1"/>
  <c r="D98" i="1" s="1"/>
  <c r="B99" i="1" s="1"/>
  <c r="C99" i="1" l="1"/>
  <c r="D99" i="1" s="1"/>
  <c r="B100" i="1" s="1"/>
  <c r="C100" i="1" l="1"/>
  <c r="D100" i="1" s="1"/>
  <c r="B101" i="1" s="1"/>
  <c r="C101" i="1" l="1"/>
  <c r="D101" i="1" s="1"/>
  <c r="B102" i="1" s="1"/>
  <c r="C102" i="1" l="1"/>
  <c r="D102" i="1" s="1"/>
  <c r="B103" i="1" s="1"/>
  <c r="C103" i="1" l="1"/>
  <c r="D103" i="1" s="1"/>
  <c r="B104" i="1" s="1"/>
  <c r="C104" i="1" l="1"/>
  <c r="D104" i="1" s="1"/>
  <c r="B105" i="1" s="1"/>
  <c r="C105" i="1" l="1"/>
  <c r="D105" i="1" s="1"/>
  <c r="B106" i="1" s="1"/>
  <c r="C106" i="1" l="1"/>
  <c r="D106" i="1" s="1"/>
  <c r="B107" i="1" s="1"/>
  <c r="C107" i="1" l="1"/>
  <c r="D107" i="1" s="1"/>
  <c r="B108" i="1" s="1"/>
  <c r="C108" i="1" l="1"/>
  <c r="D108" i="1" s="1"/>
  <c r="B109" i="1" s="1"/>
  <c r="C109" i="1" l="1"/>
  <c r="D109" i="1" s="1"/>
  <c r="B110" i="1" s="1"/>
  <c r="C110" i="1" l="1"/>
  <c r="D110" i="1" s="1"/>
  <c r="B111" i="1" s="1"/>
  <c r="C111" i="1" l="1"/>
  <c r="D111" i="1" s="1"/>
  <c r="B112" i="1" s="1"/>
  <c r="C112" i="1" l="1"/>
  <c r="D112" i="1" s="1"/>
  <c r="B113" i="1" s="1"/>
  <c r="C113" i="1" l="1"/>
  <c r="D113" i="1" s="1"/>
  <c r="B114" i="1" s="1"/>
  <c r="C114" i="1" l="1"/>
  <c r="D114" i="1" s="1"/>
  <c r="B115" i="1" s="1"/>
  <c r="C115" i="1" l="1"/>
  <c r="D115" i="1" s="1"/>
  <c r="B116" i="1" s="1"/>
  <c r="C116" i="1" l="1"/>
  <c r="D116" i="1" s="1"/>
  <c r="B117" i="1" s="1"/>
  <c r="C117" i="1" l="1"/>
  <c r="D117" i="1" s="1"/>
  <c r="B118" i="1" s="1"/>
  <c r="C118" i="1" l="1"/>
  <c r="D118" i="1" s="1"/>
  <c r="B119" i="1" s="1"/>
  <c r="C119" i="1" l="1"/>
  <c r="D119" i="1" s="1"/>
  <c r="B120" i="1" s="1"/>
  <c r="C120" i="1" l="1"/>
  <c r="D120" i="1" s="1"/>
  <c r="B121" i="1" s="1"/>
  <c r="C121" i="1" l="1"/>
  <c r="D121" i="1" s="1"/>
  <c r="B122" i="1" s="1"/>
  <c r="C122" i="1" l="1"/>
  <c r="D122" i="1" s="1"/>
  <c r="B123" i="1" s="1"/>
  <c r="C123" i="1" l="1"/>
  <c r="D123" i="1" s="1"/>
  <c r="B124" i="1" s="1"/>
  <c r="C124" i="1" l="1"/>
  <c r="D124" i="1" s="1"/>
  <c r="B125" i="1" s="1"/>
  <c r="C125" i="1" l="1"/>
  <c r="D125" i="1" s="1"/>
  <c r="B126" i="1" s="1"/>
  <c r="C126" i="1" l="1"/>
  <c r="D126" i="1" s="1"/>
  <c r="B127" i="1" s="1"/>
  <c r="C127" i="1" l="1"/>
  <c r="D127" i="1" s="1"/>
  <c r="B128" i="1" s="1"/>
  <c r="C128" i="1" l="1"/>
  <c r="D128" i="1" s="1"/>
  <c r="B129" i="1" s="1"/>
  <c r="C129" i="1" l="1"/>
  <c r="D129" i="1" s="1"/>
  <c r="B130" i="1" s="1"/>
  <c r="C130" i="1" l="1"/>
  <c r="D130" i="1" s="1"/>
  <c r="B131" i="1" s="1"/>
  <c r="C131" i="1" l="1"/>
  <c r="D131" i="1" s="1"/>
  <c r="B132" i="1" s="1"/>
  <c r="C132" i="1" l="1"/>
  <c r="D132" i="1" s="1"/>
  <c r="B133" i="1" s="1"/>
  <c r="C133" i="1" l="1"/>
  <c r="D133" i="1" s="1"/>
  <c r="B134" i="1" s="1"/>
  <c r="C134" i="1" l="1"/>
  <c r="D134" i="1" s="1"/>
  <c r="B135" i="1" s="1"/>
  <c r="C135" i="1" l="1"/>
  <c r="D135" i="1" s="1"/>
  <c r="B136" i="1" s="1"/>
  <c r="C136" i="1" l="1"/>
  <c r="D136" i="1" s="1"/>
  <c r="B137" i="1" s="1"/>
  <c r="C137" i="1" l="1"/>
  <c r="D137" i="1" s="1"/>
  <c r="B138" i="1" s="1"/>
  <c r="C138" i="1" l="1"/>
  <c r="D138" i="1" s="1"/>
  <c r="B139" i="1" s="1"/>
  <c r="C139" i="1" l="1"/>
  <c r="D139" i="1" s="1"/>
  <c r="B140" i="1" s="1"/>
  <c r="C140" i="1" l="1"/>
  <c r="D140" i="1" s="1"/>
  <c r="B141" i="1" s="1"/>
  <c r="C141" i="1" l="1"/>
  <c r="D141" i="1" s="1"/>
  <c r="B142" i="1" s="1"/>
  <c r="C142" i="1" l="1"/>
  <c r="D142" i="1" s="1"/>
  <c r="B143" i="1" s="1"/>
  <c r="C143" i="1" l="1"/>
  <c r="D143" i="1" s="1"/>
  <c r="B144" i="1" s="1"/>
  <c r="C144" i="1" l="1"/>
  <c r="D144" i="1" s="1"/>
  <c r="B145" i="1" s="1"/>
  <c r="C145" i="1" l="1"/>
  <c r="D145" i="1" s="1"/>
  <c r="B146" i="1" s="1"/>
  <c r="C146" i="1" l="1"/>
  <c r="D146" i="1" s="1"/>
  <c r="B147" i="1" s="1"/>
  <c r="C147" i="1" l="1"/>
  <c r="D147" i="1" s="1"/>
  <c r="B148" i="1" s="1"/>
  <c r="C148" i="1" l="1"/>
  <c r="D148" i="1" s="1"/>
  <c r="B149" i="1" s="1"/>
  <c r="C149" i="1" l="1"/>
  <c r="D149" i="1" s="1"/>
  <c r="B150" i="1" s="1"/>
  <c r="C150" i="1" l="1"/>
  <c r="D150" i="1" s="1"/>
  <c r="B151" i="1" s="1"/>
  <c r="C151" i="1" l="1"/>
  <c r="D151" i="1" s="1"/>
  <c r="B152" i="1" s="1"/>
  <c r="C152" i="1" l="1"/>
  <c r="D152" i="1" s="1"/>
  <c r="B153" i="1" s="1"/>
  <c r="C153" i="1" l="1"/>
  <c r="D153" i="1" s="1"/>
  <c r="B154" i="1" s="1"/>
  <c r="C154" i="1" l="1"/>
  <c r="D154" i="1" s="1"/>
  <c r="B155" i="1" s="1"/>
  <c r="C155" i="1" l="1"/>
  <c r="D155" i="1" s="1"/>
  <c r="B156" i="1" s="1"/>
  <c r="C156" i="1" l="1"/>
  <c r="D156" i="1" s="1"/>
  <c r="B157" i="1" s="1"/>
  <c r="C157" i="1" l="1"/>
  <c r="D157" i="1" s="1"/>
  <c r="B158" i="1" s="1"/>
  <c r="C158" i="1" l="1"/>
  <c r="D158" i="1" s="1"/>
  <c r="B159" i="1" s="1"/>
  <c r="C159" i="1" l="1"/>
  <c r="D159" i="1" s="1"/>
  <c r="B160" i="1" s="1"/>
  <c r="C160" i="1" l="1"/>
  <c r="D160" i="1" s="1"/>
  <c r="B161" i="1" s="1"/>
  <c r="C161" i="1" l="1"/>
  <c r="D161" i="1" s="1"/>
  <c r="B162" i="1" s="1"/>
  <c r="C162" i="1" l="1"/>
  <c r="D162" i="1" s="1"/>
  <c r="B163" i="1" s="1"/>
  <c r="C163" i="1" l="1"/>
  <c r="D163" i="1" s="1"/>
  <c r="B164" i="1" s="1"/>
  <c r="C164" i="1" l="1"/>
  <c r="D164" i="1" s="1"/>
  <c r="B165" i="1" s="1"/>
  <c r="C165" i="1" l="1"/>
  <c r="D165" i="1" s="1"/>
  <c r="B166" i="1" s="1"/>
  <c r="C166" i="1" l="1"/>
  <c r="D166" i="1" s="1"/>
  <c r="B167" i="1" s="1"/>
  <c r="C167" i="1" l="1"/>
  <c r="D167" i="1" s="1"/>
  <c r="B168" i="1" s="1"/>
  <c r="C168" i="1" l="1"/>
  <c r="D168" i="1" s="1"/>
  <c r="B169" i="1" s="1"/>
  <c r="C169" i="1" l="1"/>
  <c r="D169" i="1" s="1"/>
  <c r="B170" i="1" s="1"/>
  <c r="C170" i="1" l="1"/>
  <c r="D170" i="1" s="1"/>
  <c r="B171" i="1" s="1"/>
  <c r="C171" i="1" l="1"/>
  <c r="D171" i="1" s="1"/>
  <c r="B172" i="1" s="1"/>
  <c r="C172" i="1" l="1"/>
  <c r="D172" i="1" s="1"/>
  <c r="B173" i="1" s="1"/>
  <c r="C173" i="1" l="1"/>
  <c r="D173" i="1" s="1"/>
  <c r="B174" i="1" s="1"/>
  <c r="C174" i="1" l="1"/>
  <c r="D174" i="1" s="1"/>
  <c r="B175" i="1" s="1"/>
  <c r="C175" i="1" l="1"/>
  <c r="D175" i="1" s="1"/>
  <c r="B176" i="1" s="1"/>
  <c r="C176" i="1" l="1"/>
  <c r="D176" i="1" s="1"/>
  <c r="B177" i="1" s="1"/>
  <c r="C177" i="1" l="1"/>
  <c r="D177" i="1" s="1"/>
  <c r="B178" i="1" s="1"/>
  <c r="C178" i="1" l="1"/>
  <c r="D178" i="1" s="1"/>
  <c r="B179" i="1" s="1"/>
  <c r="C179" i="1" l="1"/>
  <c r="D179" i="1" s="1"/>
  <c r="B180" i="1" s="1"/>
  <c r="C180" i="1" l="1"/>
  <c r="D180" i="1" s="1"/>
  <c r="B181" i="1" s="1"/>
  <c r="C181" i="1" l="1"/>
  <c r="D181" i="1" s="1"/>
  <c r="B182" i="1" s="1"/>
  <c r="C182" i="1" l="1"/>
  <c r="D182" i="1" s="1"/>
  <c r="B183" i="1" s="1"/>
  <c r="C183" i="1" l="1"/>
  <c r="D183" i="1" s="1"/>
  <c r="B184" i="1" s="1"/>
  <c r="C184" i="1" l="1"/>
  <c r="D184" i="1" s="1"/>
  <c r="B185" i="1" s="1"/>
  <c r="C185" i="1" l="1"/>
  <c r="D185" i="1" s="1"/>
  <c r="B186" i="1" s="1"/>
  <c r="C186" i="1" l="1"/>
  <c r="D186" i="1" s="1"/>
  <c r="B187" i="1" s="1"/>
  <c r="C187" i="1" l="1"/>
  <c r="D187" i="1" s="1"/>
  <c r="B188" i="1" s="1"/>
  <c r="C188" i="1" l="1"/>
  <c r="D188" i="1" s="1"/>
  <c r="B189" i="1" s="1"/>
  <c r="C189" i="1" l="1"/>
  <c r="D189" i="1" s="1"/>
  <c r="B190" i="1" s="1"/>
  <c r="C190" i="1" l="1"/>
  <c r="D190" i="1" s="1"/>
  <c r="B191" i="1" s="1"/>
  <c r="C191" i="1" l="1"/>
  <c r="D191" i="1" s="1"/>
  <c r="B192" i="1" s="1"/>
  <c r="C192" i="1" l="1"/>
  <c r="D192" i="1" s="1"/>
  <c r="B193" i="1" s="1"/>
  <c r="C193" i="1" l="1"/>
  <c r="D193" i="1" s="1"/>
  <c r="B194" i="1" s="1"/>
  <c r="C194" i="1" l="1"/>
  <c r="D194" i="1" s="1"/>
  <c r="B195" i="1" s="1"/>
  <c r="C195" i="1" l="1"/>
  <c r="D195" i="1" s="1"/>
  <c r="B196" i="1" s="1"/>
  <c r="C196" i="1" l="1"/>
  <c r="D196" i="1" s="1"/>
  <c r="B197" i="1" s="1"/>
  <c r="C197" i="1" l="1"/>
  <c r="D197" i="1" s="1"/>
  <c r="B198" i="1" s="1"/>
  <c r="C198" i="1" l="1"/>
  <c r="D198" i="1" s="1"/>
  <c r="B199" i="1" s="1"/>
  <c r="C199" i="1" l="1"/>
  <c r="D199" i="1" s="1"/>
  <c r="B200" i="1" s="1"/>
  <c r="C200" i="1" l="1"/>
  <c r="D200" i="1" s="1"/>
  <c r="B201" i="1" s="1"/>
  <c r="C201" i="1" l="1"/>
  <c r="D201" i="1" s="1"/>
  <c r="B202" i="1" s="1"/>
  <c r="C202" i="1" l="1"/>
  <c r="D202" i="1" s="1"/>
  <c r="B203" i="1" s="1"/>
  <c r="C203" i="1" l="1"/>
  <c r="D203" i="1" s="1"/>
  <c r="B204" i="1" s="1"/>
  <c r="C204" i="1" l="1"/>
  <c r="D204" i="1" s="1"/>
  <c r="B205" i="1" s="1"/>
  <c r="C205" i="1" l="1"/>
  <c r="D205" i="1" s="1"/>
  <c r="B206" i="1" s="1"/>
  <c r="C206" i="1" l="1"/>
  <c r="D206" i="1" s="1"/>
  <c r="B207" i="1" s="1"/>
  <c r="C207" i="1" l="1"/>
  <c r="D207" i="1" s="1"/>
  <c r="B208" i="1" s="1"/>
  <c r="C208" i="1" l="1"/>
  <c r="D208" i="1" s="1"/>
  <c r="B209" i="1" s="1"/>
  <c r="C209" i="1" l="1"/>
  <c r="D209" i="1" s="1"/>
  <c r="B210" i="1" s="1"/>
  <c r="C210" i="1" l="1"/>
  <c r="D210" i="1" s="1"/>
  <c r="B211" i="1" s="1"/>
  <c r="C211" i="1" l="1"/>
  <c r="D211" i="1" s="1"/>
  <c r="B212" i="1" s="1"/>
  <c r="C212" i="1" l="1"/>
  <c r="D212" i="1" s="1"/>
  <c r="B213" i="1" s="1"/>
  <c r="C213" i="1" l="1"/>
  <c r="D213" i="1" s="1"/>
  <c r="B214" i="1" s="1"/>
  <c r="C214" i="1" l="1"/>
  <c r="D214" i="1" s="1"/>
  <c r="B215" i="1" s="1"/>
  <c r="C215" i="1" l="1"/>
  <c r="D215" i="1" s="1"/>
  <c r="B216" i="1" s="1"/>
  <c r="C216" i="1" l="1"/>
  <c r="D216" i="1" s="1"/>
  <c r="B217" i="1" s="1"/>
  <c r="C217" i="1" l="1"/>
  <c r="D217" i="1" s="1"/>
  <c r="B218" i="1" s="1"/>
  <c r="C218" i="1" l="1"/>
  <c r="D218" i="1" s="1"/>
  <c r="B219" i="1" s="1"/>
  <c r="C219" i="1" l="1"/>
  <c r="D219" i="1" s="1"/>
  <c r="B220" i="1" s="1"/>
  <c r="C220" i="1" l="1"/>
  <c r="D220" i="1" s="1"/>
  <c r="B221" i="1" s="1"/>
  <c r="C221" i="1" l="1"/>
  <c r="D221" i="1" s="1"/>
  <c r="B222" i="1" s="1"/>
  <c r="C222" i="1" l="1"/>
  <c r="D222" i="1" s="1"/>
  <c r="B223" i="1" s="1"/>
  <c r="C223" i="1" l="1"/>
  <c r="D223" i="1" s="1"/>
  <c r="B224" i="1" s="1"/>
  <c r="C224" i="1" l="1"/>
  <c r="D224" i="1" s="1"/>
  <c r="B225" i="1" s="1"/>
  <c r="C225" i="1" l="1"/>
  <c r="D225" i="1" s="1"/>
  <c r="B226" i="1" s="1"/>
  <c r="C226" i="1" l="1"/>
  <c r="D226" i="1" s="1"/>
  <c r="B227" i="1" s="1"/>
  <c r="C227" i="1" l="1"/>
  <c r="D227" i="1" s="1"/>
  <c r="B228" i="1" s="1"/>
  <c r="C228" i="1" l="1"/>
  <c r="D228" i="1" s="1"/>
  <c r="B229" i="1" s="1"/>
  <c r="C229" i="1" l="1"/>
  <c r="D229" i="1" s="1"/>
  <c r="B230" i="1" s="1"/>
  <c r="C230" i="1" l="1"/>
  <c r="D230" i="1" s="1"/>
  <c r="B231" i="1" s="1"/>
  <c r="C231" i="1" l="1"/>
  <c r="D231" i="1" s="1"/>
  <c r="B232" i="1" s="1"/>
  <c r="C232" i="1" l="1"/>
  <c r="D232" i="1" s="1"/>
  <c r="B233" i="1" s="1"/>
  <c r="C233" i="1" l="1"/>
  <c r="D233" i="1" s="1"/>
  <c r="B234" i="1" s="1"/>
  <c r="C234" i="1" l="1"/>
  <c r="D234" i="1" s="1"/>
  <c r="B235" i="1" s="1"/>
  <c r="C235" i="1" l="1"/>
  <c r="D235" i="1" s="1"/>
  <c r="B236" i="1" s="1"/>
  <c r="C236" i="1" l="1"/>
  <c r="D236" i="1" s="1"/>
  <c r="B237" i="1" s="1"/>
  <c r="C237" i="1" l="1"/>
  <c r="D237" i="1" s="1"/>
  <c r="B238" i="1" s="1"/>
  <c r="C238" i="1" l="1"/>
  <c r="D238" i="1" s="1"/>
  <c r="B239" i="1" s="1"/>
  <c r="C239" i="1" l="1"/>
  <c r="D239" i="1" s="1"/>
  <c r="B240" i="1" s="1"/>
  <c r="C240" i="1" l="1"/>
  <c r="D240" i="1" s="1"/>
  <c r="B241" i="1" s="1"/>
  <c r="C241" i="1" l="1"/>
  <c r="D241" i="1" s="1"/>
  <c r="B242" i="1" s="1"/>
  <c r="C242" i="1" l="1"/>
  <c r="D242" i="1" s="1"/>
  <c r="B243" i="1" s="1"/>
  <c r="C243" i="1" l="1"/>
  <c r="D243" i="1" s="1"/>
  <c r="B244" i="1" s="1"/>
  <c r="C244" i="1" l="1"/>
  <c r="D244" i="1" s="1"/>
  <c r="B245" i="1" s="1"/>
  <c r="C245" i="1" l="1"/>
  <c r="D245" i="1" s="1"/>
  <c r="B246" i="1" s="1"/>
  <c r="C246" i="1" l="1"/>
  <c r="D246" i="1" s="1"/>
  <c r="B247" i="1" s="1"/>
  <c r="C247" i="1" l="1"/>
  <c r="D247" i="1" s="1"/>
  <c r="B248" i="1" s="1"/>
  <c r="C248" i="1" l="1"/>
  <c r="D248" i="1" s="1"/>
  <c r="B249" i="1" s="1"/>
  <c r="C249" i="1" l="1"/>
  <c r="D249" i="1" s="1"/>
  <c r="B250" i="1" s="1"/>
  <c r="C250" i="1" l="1"/>
  <c r="D250" i="1" s="1"/>
  <c r="B251" i="1" s="1"/>
  <c r="C251" i="1" l="1"/>
  <c r="D251" i="1" s="1"/>
  <c r="B252" i="1" s="1"/>
  <c r="C252" i="1" l="1"/>
  <c r="D252" i="1" s="1"/>
  <c r="B253" i="1" s="1"/>
  <c r="C253" i="1" l="1"/>
  <c r="D253" i="1" s="1"/>
  <c r="B254" i="1" s="1"/>
  <c r="C254" i="1" l="1"/>
  <c r="D254" i="1" s="1"/>
  <c r="B255" i="1" s="1"/>
  <c r="C255" i="1" l="1"/>
  <c r="D255" i="1" s="1"/>
  <c r="B256" i="1" s="1"/>
  <c r="C256" i="1" l="1"/>
  <c r="D256" i="1" s="1"/>
  <c r="B257" i="1" s="1"/>
  <c r="C257" i="1" l="1"/>
  <c r="D257" i="1" s="1"/>
  <c r="B258" i="1" s="1"/>
  <c r="C258" i="1" l="1"/>
  <c r="D258" i="1" s="1"/>
  <c r="B259" i="1" s="1"/>
  <c r="C259" i="1" l="1"/>
  <c r="D259" i="1" s="1"/>
  <c r="B260" i="1" s="1"/>
  <c r="C260" i="1" l="1"/>
  <c r="D260" i="1" s="1"/>
  <c r="B261" i="1" s="1"/>
  <c r="C261" i="1" l="1"/>
  <c r="D261" i="1" s="1"/>
  <c r="B262" i="1" s="1"/>
  <c r="C262" i="1" l="1"/>
  <c r="D262" i="1" s="1"/>
  <c r="B263" i="1" s="1"/>
  <c r="C263" i="1" l="1"/>
  <c r="D263" i="1" s="1"/>
  <c r="B264" i="1" s="1"/>
  <c r="C264" i="1" l="1"/>
  <c r="D264" i="1" s="1"/>
  <c r="B265" i="1" s="1"/>
  <c r="C265" i="1" l="1"/>
  <c r="D265" i="1" s="1"/>
  <c r="B266" i="1" s="1"/>
  <c r="C266" i="1" l="1"/>
  <c r="D266" i="1" s="1"/>
  <c r="B267" i="1" s="1"/>
  <c r="C267" i="1" l="1"/>
  <c r="D267" i="1" s="1"/>
  <c r="B268" i="1" s="1"/>
  <c r="C268" i="1" l="1"/>
  <c r="D268" i="1" s="1"/>
  <c r="B269" i="1" s="1"/>
  <c r="C269" i="1" l="1"/>
  <c r="D269" i="1" s="1"/>
  <c r="B270" i="1" s="1"/>
  <c r="C270" i="1" l="1"/>
  <c r="D270" i="1" s="1"/>
  <c r="B271" i="1" s="1"/>
  <c r="C271" i="1" l="1"/>
  <c r="D271" i="1" s="1"/>
  <c r="B272" i="1" s="1"/>
  <c r="C272" i="1" l="1"/>
  <c r="D272" i="1" s="1"/>
  <c r="B273" i="1" s="1"/>
  <c r="C273" i="1" l="1"/>
  <c r="D273" i="1" s="1"/>
  <c r="B274" i="1" s="1"/>
  <c r="C274" i="1" l="1"/>
  <c r="D274" i="1" s="1"/>
  <c r="B275" i="1" s="1"/>
  <c r="C275" i="1" l="1"/>
  <c r="D275" i="1" s="1"/>
  <c r="B276" i="1" s="1"/>
  <c r="C276" i="1" l="1"/>
  <c r="D276" i="1" s="1"/>
  <c r="B277" i="1" s="1"/>
  <c r="C277" i="1" l="1"/>
  <c r="D277" i="1" s="1"/>
  <c r="B278" i="1" s="1"/>
  <c r="C278" i="1" l="1"/>
  <c r="D278" i="1" s="1"/>
  <c r="B279" i="1" s="1"/>
  <c r="C279" i="1" l="1"/>
  <c r="D279" i="1" s="1"/>
  <c r="B280" i="1" s="1"/>
  <c r="C280" i="1" l="1"/>
  <c r="D280" i="1" s="1"/>
  <c r="B281" i="1" s="1"/>
  <c r="C281" i="1" l="1"/>
  <c r="D281" i="1" s="1"/>
  <c r="B282" i="1" s="1"/>
  <c r="C282" i="1" l="1"/>
  <c r="D282" i="1" s="1"/>
  <c r="B283" i="1" s="1"/>
  <c r="C283" i="1" l="1"/>
  <c r="D283" i="1" s="1"/>
  <c r="B284" i="1" s="1"/>
  <c r="C284" i="1" l="1"/>
  <c r="D284" i="1" s="1"/>
  <c r="B285" i="1" s="1"/>
  <c r="C285" i="1" l="1"/>
  <c r="D285" i="1" s="1"/>
  <c r="B286" i="1" s="1"/>
  <c r="C286" i="1" l="1"/>
  <c r="D286" i="1" s="1"/>
  <c r="B287" i="1" s="1"/>
  <c r="C287" i="1" l="1"/>
  <c r="D287" i="1" s="1"/>
  <c r="B288" i="1" s="1"/>
  <c r="C288" i="1" l="1"/>
  <c r="D288" i="1" s="1"/>
  <c r="B289" i="1" s="1"/>
  <c r="C289" i="1" l="1"/>
  <c r="D289" i="1" s="1"/>
  <c r="B290" i="1" s="1"/>
  <c r="C290" i="1" l="1"/>
  <c r="D290" i="1" s="1"/>
  <c r="B291" i="1" s="1"/>
  <c r="C291" i="1" l="1"/>
  <c r="D291" i="1" s="1"/>
  <c r="B292" i="1" s="1"/>
  <c r="C292" i="1" l="1"/>
  <c r="D292" i="1" s="1"/>
  <c r="B293" i="1" s="1"/>
  <c r="C293" i="1" l="1"/>
  <c r="D293" i="1" s="1"/>
  <c r="B294" i="1" s="1"/>
  <c r="C294" i="1" l="1"/>
  <c r="D294" i="1" s="1"/>
  <c r="B295" i="1" s="1"/>
  <c r="C295" i="1" l="1"/>
  <c r="D295" i="1" s="1"/>
  <c r="B296" i="1" s="1"/>
  <c r="C296" i="1" l="1"/>
  <c r="D296" i="1" s="1"/>
  <c r="B297" i="1" s="1"/>
  <c r="C297" i="1" l="1"/>
  <c r="D297" i="1" s="1"/>
  <c r="B298" i="1" s="1"/>
  <c r="C298" i="1" l="1"/>
  <c r="D298" i="1" s="1"/>
  <c r="B299" i="1" s="1"/>
  <c r="C299" i="1" l="1"/>
  <c r="D299" i="1" s="1"/>
  <c r="B300" i="1" s="1"/>
  <c r="C300" i="1" l="1"/>
  <c r="D300" i="1" s="1"/>
  <c r="B301" i="1" s="1"/>
  <c r="C301" i="1" l="1"/>
  <c r="D301" i="1" s="1"/>
  <c r="B302" i="1" s="1"/>
  <c r="C302" i="1" l="1"/>
  <c r="D302" i="1" s="1"/>
  <c r="B303" i="1" s="1"/>
  <c r="C303" i="1" l="1"/>
  <c r="D303" i="1" s="1"/>
  <c r="B304" i="1" s="1"/>
  <c r="C304" i="1" l="1"/>
  <c r="D304" i="1" s="1"/>
  <c r="B305" i="1" s="1"/>
  <c r="C305" i="1" l="1"/>
  <c r="D305" i="1" s="1"/>
  <c r="B306" i="1" s="1"/>
  <c r="C306" i="1" l="1"/>
  <c r="D306" i="1" s="1"/>
  <c r="B307" i="1" s="1"/>
  <c r="C307" i="1" l="1"/>
  <c r="D307" i="1" s="1"/>
  <c r="B308" i="1" s="1"/>
  <c r="C308" i="1" l="1"/>
  <c r="D308" i="1" s="1"/>
  <c r="B309" i="1" s="1"/>
  <c r="C309" i="1" l="1"/>
  <c r="D309" i="1" s="1"/>
  <c r="B310" i="1" s="1"/>
  <c r="C310" i="1" l="1"/>
  <c r="D310" i="1" s="1"/>
  <c r="B311" i="1" s="1"/>
  <c r="C311" i="1" l="1"/>
  <c r="D311" i="1" s="1"/>
  <c r="B312" i="1" s="1"/>
  <c r="C312" i="1" l="1"/>
  <c r="D312" i="1" s="1"/>
  <c r="B313" i="1" s="1"/>
  <c r="C313" i="1" l="1"/>
  <c r="D313" i="1" s="1"/>
  <c r="B314" i="1" s="1"/>
  <c r="C314" i="1" l="1"/>
  <c r="D314" i="1" s="1"/>
  <c r="B315" i="1" s="1"/>
  <c r="C315" i="1" l="1"/>
  <c r="D315" i="1" s="1"/>
  <c r="B316" i="1" s="1"/>
  <c r="C316" i="1" l="1"/>
  <c r="D316" i="1" s="1"/>
  <c r="B317" i="1" s="1"/>
  <c r="C317" i="1" l="1"/>
  <c r="D317" i="1" s="1"/>
  <c r="B318" i="1" s="1"/>
  <c r="C318" i="1" l="1"/>
  <c r="D318" i="1" s="1"/>
  <c r="B319" i="1" s="1"/>
  <c r="C319" i="1" l="1"/>
  <c r="D319" i="1" s="1"/>
  <c r="B320" i="1" s="1"/>
  <c r="C320" i="1" l="1"/>
  <c r="D320" i="1" s="1"/>
  <c r="B321" i="1" s="1"/>
  <c r="C321" i="1" l="1"/>
  <c r="D321" i="1" s="1"/>
  <c r="B322" i="1" s="1"/>
  <c r="C322" i="1" l="1"/>
  <c r="D322" i="1" s="1"/>
  <c r="B323" i="1" s="1"/>
  <c r="C323" i="1" l="1"/>
  <c r="D323" i="1" s="1"/>
  <c r="B324" i="1" s="1"/>
  <c r="C324" i="1" l="1"/>
  <c r="D324" i="1" s="1"/>
  <c r="B325" i="1" s="1"/>
  <c r="C325" i="1" l="1"/>
  <c r="D325" i="1" s="1"/>
  <c r="B326" i="1" s="1"/>
  <c r="C326" i="1" l="1"/>
  <c r="D326" i="1" s="1"/>
  <c r="B327" i="1" s="1"/>
  <c r="C327" i="1" l="1"/>
  <c r="D327" i="1" s="1"/>
  <c r="B328" i="1" s="1"/>
  <c r="C328" i="1" l="1"/>
  <c r="D328" i="1" s="1"/>
  <c r="B329" i="1" s="1"/>
  <c r="C329" i="1" l="1"/>
  <c r="D329" i="1" s="1"/>
  <c r="B330" i="1" s="1"/>
  <c r="C330" i="1" l="1"/>
  <c r="D330" i="1" s="1"/>
  <c r="B331" i="1" s="1"/>
  <c r="C331" i="1" l="1"/>
  <c r="D331" i="1" s="1"/>
  <c r="B332" i="1" s="1"/>
  <c r="C332" i="1" l="1"/>
  <c r="D332" i="1" s="1"/>
  <c r="B333" i="1" s="1"/>
  <c r="C333" i="1" l="1"/>
  <c r="D333" i="1" s="1"/>
  <c r="B334" i="1" s="1"/>
  <c r="C334" i="1" l="1"/>
  <c r="D334" i="1" s="1"/>
  <c r="B335" i="1" s="1"/>
  <c r="C335" i="1" l="1"/>
  <c r="D335" i="1" s="1"/>
  <c r="B336" i="1" s="1"/>
  <c r="C336" i="1" l="1"/>
  <c r="D336" i="1" s="1"/>
  <c r="B337" i="1" s="1"/>
  <c r="C337" i="1" l="1"/>
  <c r="D337" i="1" s="1"/>
  <c r="B338" i="1" s="1"/>
  <c r="C338" i="1" l="1"/>
  <c r="D338" i="1" s="1"/>
  <c r="B339" i="1" s="1"/>
  <c r="C339" i="1" l="1"/>
  <c r="D339" i="1" s="1"/>
  <c r="B340" i="1" s="1"/>
  <c r="C340" i="1" l="1"/>
  <c r="D340" i="1" s="1"/>
  <c r="B341" i="1" s="1"/>
  <c r="C341" i="1" l="1"/>
  <c r="D341" i="1" s="1"/>
  <c r="B342" i="1" s="1"/>
  <c r="C342" i="1" l="1"/>
  <c r="D342" i="1" s="1"/>
  <c r="B343" i="1" s="1"/>
  <c r="C343" i="1" l="1"/>
  <c r="D343" i="1" s="1"/>
  <c r="B344" i="1" s="1"/>
  <c r="C344" i="1" l="1"/>
  <c r="D344" i="1" s="1"/>
  <c r="B345" i="1" s="1"/>
  <c r="C345" i="1" l="1"/>
  <c r="D345" i="1" s="1"/>
  <c r="B346" i="1" s="1"/>
  <c r="C346" i="1" l="1"/>
  <c r="D346" i="1" s="1"/>
  <c r="B347" i="1" s="1"/>
  <c r="C347" i="1" l="1"/>
  <c r="D347" i="1" s="1"/>
  <c r="B348" i="1" s="1"/>
  <c r="C348" i="1" l="1"/>
  <c r="D348" i="1" s="1"/>
  <c r="B349" i="1" s="1"/>
  <c r="C349" i="1" l="1"/>
  <c r="D349" i="1" s="1"/>
  <c r="B350" i="1" s="1"/>
  <c r="C350" i="1" l="1"/>
  <c r="D350" i="1" s="1"/>
  <c r="B351" i="1" s="1"/>
  <c r="C351" i="1" l="1"/>
  <c r="D351" i="1" s="1"/>
  <c r="B352" i="1" s="1"/>
  <c r="C352" i="1" l="1"/>
  <c r="D352" i="1" s="1"/>
  <c r="B353" i="1" s="1"/>
  <c r="C353" i="1" l="1"/>
  <c r="D353" i="1" s="1"/>
  <c r="B354" i="1" s="1"/>
  <c r="C354" i="1" l="1"/>
  <c r="D354" i="1" s="1"/>
  <c r="B355" i="1" s="1"/>
  <c r="C355" i="1" l="1"/>
  <c r="D355" i="1" s="1"/>
  <c r="B356" i="1" s="1"/>
  <c r="C356" i="1" l="1"/>
  <c r="D356" i="1" s="1"/>
  <c r="B357" i="1" s="1"/>
  <c r="C357" i="1" l="1"/>
  <c r="D357" i="1" s="1"/>
  <c r="B358" i="1" s="1"/>
  <c r="C358" i="1" l="1"/>
  <c r="D358" i="1" s="1"/>
  <c r="B359" i="1" s="1"/>
  <c r="C359" i="1" l="1"/>
  <c r="D359" i="1" s="1"/>
  <c r="B360" i="1" s="1"/>
  <c r="C360" i="1" l="1"/>
  <c r="D360" i="1" s="1"/>
  <c r="B361" i="1" s="1"/>
  <c r="C361" i="1" l="1"/>
  <c r="D361" i="1" s="1"/>
  <c r="B362" i="1" s="1"/>
  <c r="C362" i="1" l="1"/>
  <c r="D362" i="1" s="1"/>
  <c r="B363" i="1" s="1"/>
  <c r="C363" i="1" l="1"/>
  <c r="D363" i="1" s="1"/>
  <c r="B364" i="1" s="1"/>
  <c r="C364" i="1" l="1"/>
  <c r="D364" i="1" s="1"/>
  <c r="B365" i="1" s="1"/>
  <c r="C365" i="1" l="1"/>
  <c r="D365" i="1" s="1"/>
  <c r="B366" i="1" s="1"/>
  <c r="C366" i="1" l="1"/>
  <c r="D366" i="1" s="1"/>
  <c r="B367" i="1" s="1"/>
  <c r="C367" i="1" l="1"/>
  <c r="D367" i="1" s="1"/>
  <c r="B368" i="1" s="1"/>
  <c r="C368" i="1" l="1"/>
  <c r="D368" i="1" s="1"/>
  <c r="B369" i="1" s="1"/>
  <c r="C369" i="1" l="1"/>
  <c r="D369" i="1" s="1"/>
  <c r="B370" i="1" s="1"/>
  <c r="C370" i="1" l="1"/>
  <c r="D370" i="1" s="1"/>
  <c r="B371" i="1" s="1"/>
  <c r="C371" i="1" l="1"/>
  <c r="D371" i="1" s="1"/>
  <c r="B372" i="1" s="1"/>
  <c r="C372" i="1" l="1"/>
  <c r="D372" i="1" s="1"/>
  <c r="B373" i="1" s="1"/>
  <c r="C373" i="1" l="1"/>
  <c r="D373" i="1" s="1"/>
  <c r="B374" i="1" s="1"/>
  <c r="C374" i="1" l="1"/>
  <c r="D374" i="1" s="1"/>
  <c r="B375" i="1" s="1"/>
  <c r="C375" i="1" l="1"/>
  <c r="D375" i="1" s="1"/>
  <c r="B376" i="1" s="1"/>
  <c r="C376" i="1" l="1"/>
  <c r="D376" i="1" s="1"/>
  <c r="B377" i="1" s="1"/>
  <c r="C377" i="1" l="1"/>
  <c r="D377" i="1" s="1"/>
  <c r="B378" i="1" s="1"/>
  <c r="C378" i="1" l="1"/>
  <c r="D378" i="1" s="1"/>
  <c r="B379" i="1" s="1"/>
  <c r="C379" i="1" l="1"/>
  <c r="D379" i="1" s="1"/>
  <c r="B380" i="1" s="1"/>
  <c r="C380" i="1" l="1"/>
  <c r="D380" i="1" s="1"/>
  <c r="B381" i="1" s="1"/>
  <c r="C381" i="1" l="1"/>
  <c r="D381" i="1" s="1"/>
  <c r="B382" i="1" s="1"/>
  <c r="C382" i="1" l="1"/>
  <c r="D382" i="1" s="1"/>
  <c r="B383" i="1" s="1"/>
  <c r="C383" i="1" l="1"/>
  <c r="D383" i="1" s="1"/>
  <c r="B384" i="1" s="1"/>
  <c r="C384" i="1" l="1"/>
  <c r="D384" i="1" s="1"/>
  <c r="B385" i="1" s="1"/>
  <c r="C385" i="1" l="1"/>
  <c r="D385" i="1" s="1"/>
  <c r="B386" i="1" s="1"/>
  <c r="C386" i="1" l="1"/>
  <c r="D386" i="1" s="1"/>
  <c r="B387" i="1" s="1"/>
  <c r="C387" i="1" l="1"/>
  <c r="D387" i="1" s="1"/>
  <c r="B388" i="1" s="1"/>
  <c r="C388" i="1" l="1"/>
  <c r="D388" i="1" s="1"/>
  <c r="B389" i="1" s="1"/>
  <c r="C389" i="1" l="1"/>
  <c r="D389" i="1" s="1"/>
  <c r="B390" i="1" s="1"/>
  <c r="C390" i="1" l="1"/>
  <c r="D390" i="1" s="1"/>
  <c r="B391" i="1" s="1"/>
  <c r="C391" i="1" l="1"/>
  <c r="D391" i="1" s="1"/>
  <c r="B392" i="1" s="1"/>
  <c r="C392" i="1" l="1"/>
  <c r="D392" i="1" s="1"/>
  <c r="B393" i="1" s="1"/>
  <c r="C393" i="1" l="1"/>
  <c r="D393" i="1" s="1"/>
  <c r="B394" i="1" s="1"/>
  <c r="C394" i="1" l="1"/>
  <c r="D394" i="1" s="1"/>
  <c r="B395" i="1" s="1"/>
  <c r="C395" i="1" l="1"/>
  <c r="D395" i="1" s="1"/>
  <c r="B396" i="1" s="1"/>
  <c r="C396" i="1" l="1"/>
  <c r="D396" i="1" s="1"/>
  <c r="B397" i="1" s="1"/>
  <c r="C397" i="1" l="1"/>
  <c r="D397" i="1" s="1"/>
  <c r="B398" i="1" s="1"/>
  <c r="C398" i="1" l="1"/>
  <c r="D398" i="1" s="1"/>
  <c r="B399" i="1" s="1"/>
  <c r="C399" i="1" l="1"/>
  <c r="D399" i="1" s="1"/>
  <c r="B400" i="1" s="1"/>
  <c r="C400" i="1" l="1"/>
  <c r="D400" i="1" s="1"/>
  <c r="B401" i="1" s="1"/>
  <c r="C401" i="1" l="1"/>
  <c r="D401" i="1" s="1"/>
  <c r="B402" i="1" s="1"/>
  <c r="C402" i="1" l="1"/>
  <c r="D402" i="1" s="1"/>
  <c r="B403" i="1" s="1"/>
  <c r="C403" i="1" l="1"/>
  <c r="D403" i="1" s="1"/>
  <c r="B404" i="1" s="1"/>
  <c r="C404" i="1" l="1"/>
  <c r="D404" i="1" s="1"/>
  <c r="B405" i="1" s="1"/>
  <c r="C405" i="1" l="1"/>
  <c r="D405" i="1" s="1"/>
  <c r="B406" i="1" s="1"/>
  <c r="C406" i="1" l="1"/>
  <c r="D406" i="1" s="1"/>
  <c r="B407" i="1" s="1"/>
  <c r="C407" i="1" l="1"/>
  <c r="D407" i="1" s="1"/>
  <c r="B408" i="1" s="1"/>
  <c r="C408" i="1" l="1"/>
  <c r="D408" i="1" s="1"/>
  <c r="B409" i="1" s="1"/>
  <c r="C409" i="1" l="1"/>
  <c r="D409" i="1" s="1"/>
  <c r="B410" i="1" s="1"/>
  <c r="C410" i="1" l="1"/>
  <c r="D410" i="1" s="1"/>
  <c r="B411" i="1" s="1"/>
  <c r="C411" i="1" l="1"/>
  <c r="D411" i="1" s="1"/>
  <c r="B412" i="1" s="1"/>
  <c r="C412" i="1" l="1"/>
  <c r="D412" i="1" s="1"/>
  <c r="B413" i="1" s="1"/>
  <c r="C413" i="1" l="1"/>
  <c r="D413" i="1" s="1"/>
  <c r="B414" i="1" s="1"/>
  <c r="C414" i="1" l="1"/>
  <c r="D414" i="1" s="1"/>
  <c r="B415" i="1" s="1"/>
  <c r="C415" i="1" l="1"/>
  <c r="D415" i="1" s="1"/>
  <c r="B416" i="1" s="1"/>
  <c r="C416" i="1" l="1"/>
  <c r="D416" i="1" s="1"/>
  <c r="B417" i="1" s="1"/>
  <c r="C417" i="1" l="1"/>
  <c r="D417" i="1" s="1"/>
  <c r="B418" i="1" s="1"/>
  <c r="C418" i="1" l="1"/>
  <c r="D418" i="1" s="1"/>
  <c r="B419" i="1" s="1"/>
  <c r="C419" i="1" l="1"/>
  <c r="D419" i="1" s="1"/>
  <c r="B420" i="1" s="1"/>
  <c r="C420" i="1" l="1"/>
  <c r="D420" i="1" s="1"/>
  <c r="B421" i="1" s="1"/>
  <c r="C421" i="1" l="1"/>
  <c r="D421" i="1" s="1"/>
  <c r="B422" i="1" s="1"/>
  <c r="C422" i="1" l="1"/>
  <c r="D422" i="1" s="1"/>
  <c r="B423" i="1" s="1"/>
  <c r="C423" i="1" l="1"/>
  <c r="D423" i="1" s="1"/>
  <c r="B424" i="1" s="1"/>
  <c r="C424" i="1" l="1"/>
  <c r="D424" i="1" s="1"/>
  <c r="B425" i="1" s="1"/>
  <c r="C425" i="1" l="1"/>
  <c r="D425" i="1" s="1"/>
  <c r="B426" i="1" s="1"/>
  <c r="C426" i="1" l="1"/>
  <c r="D426" i="1" s="1"/>
  <c r="B427" i="1" s="1"/>
  <c r="C427" i="1" l="1"/>
  <c r="D427" i="1" s="1"/>
  <c r="B428" i="1" s="1"/>
  <c r="C428" i="1" l="1"/>
  <c r="D428" i="1" s="1"/>
  <c r="B429" i="1" s="1"/>
  <c r="C429" i="1" l="1"/>
  <c r="D429" i="1" s="1"/>
  <c r="B430" i="1" s="1"/>
  <c r="C430" i="1" l="1"/>
  <c r="D430" i="1" s="1"/>
  <c r="B431" i="1" s="1"/>
  <c r="C431" i="1" l="1"/>
  <c r="D431" i="1" s="1"/>
  <c r="B432" i="1" s="1"/>
  <c r="C432" i="1" l="1"/>
  <c r="D432" i="1" s="1"/>
  <c r="B433" i="1" s="1"/>
  <c r="C433" i="1" l="1"/>
  <c r="D433" i="1" s="1"/>
  <c r="B434" i="1" s="1"/>
  <c r="C434" i="1" l="1"/>
  <c r="D434" i="1" s="1"/>
  <c r="B435" i="1" s="1"/>
  <c r="C435" i="1" l="1"/>
  <c r="D435" i="1" s="1"/>
  <c r="B436" i="1" s="1"/>
  <c r="C436" i="1" l="1"/>
  <c r="D436" i="1" s="1"/>
  <c r="B437" i="1" s="1"/>
  <c r="C437" i="1" l="1"/>
  <c r="D437" i="1" s="1"/>
  <c r="B438" i="1" s="1"/>
  <c r="C438" i="1" l="1"/>
  <c r="D438" i="1" s="1"/>
  <c r="B439" i="1" s="1"/>
  <c r="C439" i="1" l="1"/>
  <c r="D439" i="1" s="1"/>
  <c r="B440" i="1" s="1"/>
  <c r="C440" i="1" l="1"/>
  <c r="D440" i="1" s="1"/>
  <c r="B441" i="1" s="1"/>
  <c r="C441" i="1" l="1"/>
  <c r="D441" i="1" s="1"/>
  <c r="B442" i="1" s="1"/>
  <c r="C442" i="1" l="1"/>
  <c r="D442" i="1" s="1"/>
  <c r="B443" i="1" s="1"/>
  <c r="C443" i="1" l="1"/>
  <c r="D443" i="1" s="1"/>
  <c r="B444" i="1" s="1"/>
  <c r="C444" i="1" l="1"/>
  <c r="D444" i="1" s="1"/>
  <c r="B445" i="1" s="1"/>
  <c r="C445" i="1" l="1"/>
  <c r="D445" i="1" s="1"/>
  <c r="B446" i="1" s="1"/>
  <c r="C446" i="1" l="1"/>
  <c r="D446" i="1" s="1"/>
  <c r="B447" i="1" s="1"/>
  <c r="C447" i="1" l="1"/>
  <c r="D447" i="1" s="1"/>
  <c r="B448" i="1" s="1"/>
  <c r="C448" i="1" l="1"/>
  <c r="D448" i="1" s="1"/>
  <c r="B449" i="1" s="1"/>
  <c r="C449" i="1" l="1"/>
  <c r="D449" i="1" s="1"/>
  <c r="B450" i="1" s="1"/>
  <c r="C450" i="1" l="1"/>
  <c r="D450" i="1" s="1"/>
  <c r="B451" i="1" s="1"/>
  <c r="C451" i="1" l="1"/>
  <c r="D451" i="1" s="1"/>
  <c r="B452" i="1" s="1"/>
  <c r="C452" i="1" l="1"/>
  <c r="D452" i="1" s="1"/>
  <c r="B453" i="1" s="1"/>
  <c r="C453" i="1" l="1"/>
  <c r="D453" i="1" s="1"/>
  <c r="B454" i="1" s="1"/>
  <c r="C454" i="1" l="1"/>
  <c r="D454" i="1" s="1"/>
  <c r="B455" i="1" s="1"/>
  <c r="C455" i="1" l="1"/>
  <c r="D455" i="1" s="1"/>
  <c r="B456" i="1" s="1"/>
  <c r="C456" i="1" l="1"/>
  <c r="D456" i="1" s="1"/>
  <c r="B457" i="1" s="1"/>
  <c r="C457" i="1" l="1"/>
  <c r="D457" i="1" s="1"/>
  <c r="B458" i="1" s="1"/>
  <c r="C458" i="1" l="1"/>
  <c r="D458" i="1" s="1"/>
  <c r="B459" i="1" s="1"/>
  <c r="C459" i="1" l="1"/>
  <c r="D459" i="1" s="1"/>
  <c r="B460" i="1" s="1"/>
  <c r="C460" i="1" l="1"/>
  <c r="D460" i="1" s="1"/>
  <c r="B461" i="1" s="1"/>
  <c r="C461" i="1" l="1"/>
  <c r="D461" i="1" s="1"/>
  <c r="B462" i="1" s="1"/>
  <c r="C462" i="1" l="1"/>
  <c r="D462" i="1" s="1"/>
  <c r="B463" i="1" s="1"/>
  <c r="C463" i="1" l="1"/>
  <c r="D463" i="1" s="1"/>
  <c r="B464" i="1" s="1"/>
  <c r="C464" i="1" l="1"/>
  <c r="D464" i="1" s="1"/>
  <c r="B465" i="1" s="1"/>
  <c r="C465" i="1" l="1"/>
  <c r="D465" i="1" s="1"/>
  <c r="B466" i="1" s="1"/>
  <c r="C466" i="1" l="1"/>
  <c r="D466" i="1" s="1"/>
  <c r="B467" i="1" s="1"/>
  <c r="C467" i="1" l="1"/>
  <c r="D467" i="1" s="1"/>
  <c r="B468" i="1" s="1"/>
  <c r="C468" i="1" l="1"/>
  <c r="D468" i="1" s="1"/>
  <c r="B469" i="1" s="1"/>
  <c r="C469" i="1" l="1"/>
  <c r="D469" i="1" s="1"/>
  <c r="B470" i="1" s="1"/>
  <c r="C470" i="1" l="1"/>
  <c r="D470" i="1" s="1"/>
  <c r="B471" i="1" s="1"/>
  <c r="C471" i="1" l="1"/>
  <c r="D471" i="1" s="1"/>
  <c r="B472" i="1" s="1"/>
  <c r="C472" i="1" l="1"/>
  <c r="D472" i="1" s="1"/>
  <c r="B473" i="1" s="1"/>
  <c r="C473" i="1" l="1"/>
  <c r="D473" i="1" s="1"/>
  <c r="B474" i="1" s="1"/>
  <c r="C474" i="1" l="1"/>
  <c r="D474" i="1" s="1"/>
  <c r="B475" i="1" s="1"/>
  <c r="C475" i="1" l="1"/>
  <c r="D475" i="1" s="1"/>
  <c r="B476" i="1" s="1"/>
  <c r="C476" i="1" l="1"/>
  <c r="D476" i="1" s="1"/>
  <c r="B477" i="1" s="1"/>
  <c r="C477" i="1" l="1"/>
  <c r="D477" i="1" s="1"/>
  <c r="B478" i="1" s="1"/>
  <c r="C478" i="1" l="1"/>
  <c r="D478" i="1" s="1"/>
  <c r="B479" i="1" s="1"/>
  <c r="C479" i="1" l="1"/>
  <c r="D479" i="1" s="1"/>
  <c r="B480" i="1" s="1"/>
  <c r="C480" i="1" l="1"/>
  <c r="D480" i="1" s="1"/>
  <c r="B481" i="1" s="1"/>
  <c r="C481" i="1" l="1"/>
  <c r="D481" i="1" s="1"/>
  <c r="B482" i="1" s="1"/>
  <c r="C482" i="1" l="1"/>
  <c r="D482" i="1" s="1"/>
  <c r="B483" i="1" s="1"/>
  <c r="C483" i="1" l="1"/>
  <c r="D483" i="1" s="1"/>
  <c r="B484" i="1" s="1"/>
  <c r="C484" i="1" l="1"/>
  <c r="D484" i="1" s="1"/>
  <c r="B485" i="1" s="1"/>
  <c r="C485" i="1" l="1"/>
  <c r="D485" i="1" s="1"/>
  <c r="B486" i="1" s="1"/>
  <c r="C486" i="1" l="1"/>
  <c r="D486" i="1" s="1"/>
  <c r="B487" i="1" s="1"/>
  <c r="C487" i="1" l="1"/>
  <c r="D487" i="1" s="1"/>
  <c r="B488" i="1" s="1"/>
  <c r="C488" i="1" l="1"/>
  <c r="D488" i="1" s="1"/>
  <c r="B489" i="1" s="1"/>
  <c r="C489" i="1" l="1"/>
  <c r="D489" i="1" s="1"/>
  <c r="B490" i="1" s="1"/>
  <c r="C490" i="1" l="1"/>
  <c r="D490" i="1" s="1"/>
  <c r="B491" i="1" s="1"/>
  <c r="C491" i="1" l="1"/>
  <c r="D491" i="1" s="1"/>
  <c r="B492" i="1" s="1"/>
  <c r="C492" i="1" l="1"/>
  <c r="D492" i="1" s="1"/>
  <c r="B493" i="1" s="1"/>
  <c r="C493" i="1" l="1"/>
  <c r="D493" i="1" s="1"/>
  <c r="B494" i="1" s="1"/>
  <c r="C494" i="1" l="1"/>
  <c r="D494" i="1" s="1"/>
  <c r="B495" i="1" s="1"/>
  <c r="C495" i="1" l="1"/>
  <c r="D495" i="1" s="1"/>
  <c r="B496" i="1" s="1"/>
  <c r="C496" i="1" l="1"/>
  <c r="D496" i="1" s="1"/>
  <c r="B497" i="1" s="1"/>
  <c r="C497" i="1" l="1"/>
  <c r="D497" i="1" s="1"/>
  <c r="B498" i="1" s="1"/>
  <c r="C498" i="1" l="1"/>
  <c r="D498" i="1" s="1"/>
  <c r="B499" i="1" s="1"/>
  <c r="C499" i="1" l="1"/>
  <c r="D499" i="1" s="1"/>
  <c r="B500" i="1" s="1"/>
  <c r="C500" i="1" l="1"/>
  <c r="D500" i="1" s="1"/>
  <c r="B501" i="1" s="1"/>
  <c r="C501" i="1" l="1"/>
  <c r="D501" i="1" s="1"/>
  <c r="B502" i="1" s="1"/>
  <c r="C502" i="1" l="1"/>
  <c r="D502" i="1" s="1"/>
  <c r="B503" i="1" s="1"/>
  <c r="C503" i="1" l="1"/>
  <c r="D503" i="1" s="1"/>
  <c r="B504" i="1" s="1"/>
  <c r="C504" i="1" l="1"/>
  <c r="D504" i="1" s="1"/>
  <c r="B505" i="1" s="1"/>
  <c r="C505" i="1" l="1"/>
  <c r="D505" i="1" s="1"/>
  <c r="B506" i="1" s="1"/>
  <c r="C506" i="1" l="1"/>
  <c r="D506" i="1" s="1"/>
  <c r="B507" i="1" s="1"/>
  <c r="C507" i="1" l="1"/>
  <c r="D507" i="1" s="1"/>
  <c r="B508" i="1" s="1"/>
  <c r="C508" i="1" l="1"/>
  <c r="D508" i="1" s="1"/>
  <c r="B509" i="1" s="1"/>
  <c r="C509" i="1" l="1"/>
  <c r="D509" i="1" s="1"/>
  <c r="B510" i="1" s="1"/>
  <c r="C510" i="1" l="1"/>
  <c r="D510" i="1" s="1"/>
  <c r="B511" i="1" s="1"/>
  <c r="C511" i="1" l="1"/>
  <c r="D511" i="1" s="1"/>
  <c r="B512" i="1" s="1"/>
  <c r="C512" i="1" l="1"/>
  <c r="D512" i="1" s="1"/>
  <c r="B513" i="1" s="1"/>
  <c r="C513" i="1" l="1"/>
  <c r="D513" i="1" s="1"/>
  <c r="B514" i="1" s="1"/>
  <c r="C514" i="1" l="1"/>
  <c r="D514" i="1" s="1"/>
  <c r="B515" i="1" s="1"/>
  <c r="C515" i="1" l="1"/>
  <c r="D515" i="1" s="1"/>
  <c r="B516" i="1" s="1"/>
  <c r="C516" i="1" l="1"/>
  <c r="D516" i="1" s="1"/>
  <c r="B517" i="1" s="1"/>
  <c r="C517" i="1" l="1"/>
  <c r="D517" i="1" s="1"/>
  <c r="B518" i="1" s="1"/>
  <c r="C518" i="1" l="1"/>
  <c r="D518" i="1" s="1"/>
  <c r="B519" i="1" s="1"/>
  <c r="C519" i="1" l="1"/>
  <c r="D519" i="1" s="1"/>
  <c r="B520" i="1" s="1"/>
  <c r="C520" i="1" l="1"/>
  <c r="D520" i="1" s="1"/>
  <c r="B521" i="1" s="1"/>
  <c r="C521" i="1" l="1"/>
  <c r="D521" i="1" s="1"/>
  <c r="B522" i="1" s="1"/>
  <c r="C522" i="1" l="1"/>
  <c r="D522" i="1" s="1"/>
  <c r="B523" i="1" s="1"/>
  <c r="C523" i="1" l="1"/>
  <c r="D523" i="1" s="1"/>
  <c r="B524" i="1" s="1"/>
  <c r="C524" i="1" l="1"/>
  <c r="D524" i="1" s="1"/>
  <c r="B525" i="1" s="1"/>
  <c r="C525" i="1" l="1"/>
  <c r="D525" i="1" s="1"/>
  <c r="B526" i="1" s="1"/>
  <c r="C526" i="1" l="1"/>
  <c r="D526" i="1" s="1"/>
  <c r="B527" i="1" s="1"/>
  <c r="C527" i="1" l="1"/>
  <c r="D527" i="1" s="1"/>
  <c r="B528" i="1" s="1"/>
  <c r="C528" i="1" l="1"/>
  <c r="D528" i="1" s="1"/>
  <c r="B529" i="1" s="1"/>
  <c r="C529" i="1" l="1"/>
  <c r="D529" i="1" s="1"/>
  <c r="B530" i="1" s="1"/>
  <c r="C530" i="1" l="1"/>
  <c r="D530" i="1" s="1"/>
  <c r="B531" i="1" s="1"/>
  <c r="C531" i="1" l="1"/>
  <c r="D531" i="1" s="1"/>
  <c r="B532" i="1" s="1"/>
  <c r="C532" i="1" l="1"/>
  <c r="D532" i="1" s="1"/>
  <c r="B533" i="1" s="1"/>
  <c r="C533" i="1" l="1"/>
  <c r="D533" i="1" s="1"/>
  <c r="B534" i="1" s="1"/>
  <c r="C534" i="1" l="1"/>
  <c r="D534" i="1" s="1"/>
  <c r="B535" i="1" s="1"/>
  <c r="C535" i="1" l="1"/>
  <c r="D535" i="1" s="1"/>
  <c r="B536" i="1" s="1"/>
  <c r="C536" i="1" l="1"/>
  <c r="D536" i="1" s="1"/>
  <c r="B537" i="1" s="1"/>
  <c r="C537" i="1" l="1"/>
  <c r="D537" i="1" s="1"/>
  <c r="B538" i="1" s="1"/>
  <c r="C538" i="1" l="1"/>
  <c r="D538" i="1" s="1"/>
  <c r="B539" i="1" s="1"/>
  <c r="C539" i="1" l="1"/>
  <c r="D539" i="1" s="1"/>
  <c r="B540" i="1" s="1"/>
  <c r="C540" i="1" l="1"/>
  <c r="D540" i="1" s="1"/>
  <c r="B541" i="1" s="1"/>
  <c r="C541" i="1" l="1"/>
  <c r="D541" i="1" s="1"/>
  <c r="B542" i="1" s="1"/>
  <c r="C542" i="1" l="1"/>
  <c r="D542" i="1" s="1"/>
  <c r="B543" i="1" s="1"/>
  <c r="C543" i="1" l="1"/>
  <c r="D543" i="1" s="1"/>
  <c r="B544" i="1" s="1"/>
  <c r="C544" i="1" l="1"/>
  <c r="D544" i="1" s="1"/>
  <c r="B545" i="1" s="1"/>
  <c r="C545" i="1" l="1"/>
  <c r="D545" i="1" s="1"/>
  <c r="B546" i="1" s="1"/>
  <c r="C546" i="1" l="1"/>
  <c r="D546" i="1" s="1"/>
  <c r="B547" i="1" s="1"/>
  <c r="C547" i="1" l="1"/>
  <c r="D547" i="1" s="1"/>
  <c r="B548" i="1" s="1"/>
  <c r="C548" i="1" l="1"/>
  <c r="D548" i="1" s="1"/>
  <c r="B549" i="1" s="1"/>
  <c r="C549" i="1" l="1"/>
  <c r="D549" i="1" s="1"/>
  <c r="B550" i="1" s="1"/>
  <c r="C550" i="1" l="1"/>
  <c r="D550" i="1" s="1"/>
  <c r="B551" i="1" s="1"/>
  <c r="C551" i="1" l="1"/>
  <c r="D551" i="1" s="1"/>
  <c r="B552" i="1" s="1"/>
  <c r="C552" i="1" l="1"/>
  <c r="D552" i="1" s="1"/>
  <c r="B553" i="1" s="1"/>
  <c r="C553" i="1" l="1"/>
  <c r="D553" i="1" s="1"/>
  <c r="B554" i="1" s="1"/>
  <c r="C554" i="1" l="1"/>
  <c r="D554" i="1" s="1"/>
  <c r="B555" i="1" s="1"/>
  <c r="C555" i="1" l="1"/>
  <c r="D555" i="1" s="1"/>
  <c r="B556" i="1" s="1"/>
  <c r="C556" i="1" l="1"/>
  <c r="D556" i="1" s="1"/>
  <c r="B557" i="1" s="1"/>
  <c r="C557" i="1" l="1"/>
  <c r="D557" i="1" s="1"/>
  <c r="B558" i="1" s="1"/>
  <c r="C558" i="1" l="1"/>
  <c r="D558" i="1" s="1"/>
  <c r="B559" i="1" s="1"/>
  <c r="C559" i="1" l="1"/>
  <c r="D559" i="1" s="1"/>
  <c r="B560" i="1" s="1"/>
  <c r="C560" i="1" l="1"/>
  <c r="D560" i="1" s="1"/>
  <c r="B561" i="1" s="1"/>
  <c r="C561" i="1" l="1"/>
  <c r="D561" i="1" s="1"/>
  <c r="B562" i="1" s="1"/>
  <c r="C562" i="1" l="1"/>
  <c r="D562" i="1" s="1"/>
  <c r="B563" i="1" s="1"/>
  <c r="C563" i="1" l="1"/>
  <c r="D563" i="1" s="1"/>
  <c r="B564" i="1" s="1"/>
  <c r="C564" i="1" l="1"/>
  <c r="D564" i="1" s="1"/>
  <c r="B565" i="1" s="1"/>
  <c r="C565" i="1" l="1"/>
  <c r="D565" i="1" s="1"/>
  <c r="B566" i="1" s="1"/>
  <c r="C566" i="1" l="1"/>
  <c r="D566" i="1" s="1"/>
  <c r="B567" i="1" s="1"/>
  <c r="C567" i="1" l="1"/>
  <c r="D567" i="1" s="1"/>
  <c r="B568" i="1" s="1"/>
  <c r="C568" i="1" l="1"/>
  <c r="D568" i="1" s="1"/>
  <c r="B569" i="1" s="1"/>
  <c r="C569" i="1" l="1"/>
  <c r="D569" i="1" s="1"/>
  <c r="B570" i="1" s="1"/>
  <c r="C570" i="1" l="1"/>
  <c r="D570" i="1" s="1"/>
  <c r="B571" i="1" s="1"/>
  <c r="C571" i="1" l="1"/>
  <c r="D571" i="1" s="1"/>
  <c r="B572" i="1" s="1"/>
  <c r="C572" i="1" l="1"/>
  <c r="D572" i="1" s="1"/>
  <c r="B573" i="1" s="1"/>
  <c r="C573" i="1" l="1"/>
  <c r="D573" i="1" s="1"/>
  <c r="B574" i="1" s="1"/>
  <c r="C574" i="1" l="1"/>
  <c r="D574" i="1" s="1"/>
  <c r="B575" i="1" s="1"/>
  <c r="C575" i="1" l="1"/>
  <c r="D575" i="1" s="1"/>
  <c r="B576" i="1" s="1"/>
  <c r="C576" i="1" l="1"/>
  <c r="D576" i="1" s="1"/>
  <c r="B577" i="1" s="1"/>
  <c r="C577" i="1" l="1"/>
  <c r="D577" i="1" s="1"/>
  <c r="B578" i="1" s="1"/>
  <c r="C578" i="1" l="1"/>
  <c r="D578" i="1" s="1"/>
  <c r="B579" i="1" s="1"/>
  <c r="C579" i="1" l="1"/>
  <c r="D579" i="1" s="1"/>
  <c r="B580" i="1" s="1"/>
  <c r="C580" i="1" l="1"/>
  <c r="D580" i="1" s="1"/>
  <c r="B581" i="1" s="1"/>
  <c r="C581" i="1" l="1"/>
  <c r="D581" i="1" s="1"/>
  <c r="B582" i="1" s="1"/>
  <c r="C582" i="1" l="1"/>
  <c r="D582" i="1" s="1"/>
  <c r="B583" i="1" s="1"/>
  <c r="C583" i="1" l="1"/>
  <c r="D583" i="1" s="1"/>
  <c r="B584" i="1" s="1"/>
  <c r="C584" i="1" l="1"/>
  <c r="D584" i="1" s="1"/>
  <c r="B585" i="1" s="1"/>
  <c r="C585" i="1" l="1"/>
  <c r="D585" i="1" s="1"/>
  <c r="B586" i="1" s="1"/>
  <c r="C586" i="1" l="1"/>
  <c r="D586" i="1" s="1"/>
  <c r="B587" i="1" s="1"/>
  <c r="C587" i="1" l="1"/>
  <c r="D587" i="1" s="1"/>
  <c r="B588" i="1" s="1"/>
  <c r="C588" i="1" l="1"/>
  <c r="D588" i="1" s="1"/>
  <c r="B589" i="1" s="1"/>
  <c r="C589" i="1" l="1"/>
  <c r="D589" i="1" s="1"/>
  <c r="B590" i="1" s="1"/>
  <c r="C590" i="1" l="1"/>
  <c r="D590" i="1" s="1"/>
  <c r="B591" i="1" s="1"/>
  <c r="C591" i="1" l="1"/>
  <c r="D591" i="1" s="1"/>
  <c r="B592" i="1" s="1"/>
  <c r="C592" i="1" l="1"/>
  <c r="D592" i="1" s="1"/>
  <c r="B593" i="1" s="1"/>
  <c r="C593" i="1" l="1"/>
  <c r="D593" i="1" s="1"/>
  <c r="B594" i="1" s="1"/>
  <c r="C594" i="1" l="1"/>
  <c r="D594" i="1" s="1"/>
  <c r="B595" i="1" s="1"/>
  <c r="C595" i="1" l="1"/>
  <c r="D595" i="1" s="1"/>
  <c r="B596" i="1" s="1"/>
  <c r="C596" i="1" l="1"/>
  <c r="D596" i="1" s="1"/>
  <c r="B597" i="1" s="1"/>
  <c r="C597" i="1" l="1"/>
  <c r="D597" i="1" s="1"/>
  <c r="B598" i="1" s="1"/>
  <c r="C598" i="1" l="1"/>
  <c r="D598" i="1" s="1"/>
  <c r="B599" i="1" s="1"/>
  <c r="C599" i="1" l="1"/>
  <c r="D599" i="1" s="1"/>
  <c r="B600" i="1" s="1"/>
  <c r="C600" i="1" l="1"/>
  <c r="D600" i="1" s="1"/>
  <c r="B601" i="1" s="1"/>
  <c r="C601" i="1" l="1"/>
  <c r="D601" i="1" s="1"/>
  <c r="B602" i="1" s="1"/>
  <c r="C602" i="1" l="1"/>
  <c r="D602" i="1" s="1"/>
  <c r="B603" i="1" s="1"/>
  <c r="C603" i="1" l="1"/>
  <c r="D603" i="1" s="1"/>
  <c r="B604" i="1" s="1"/>
  <c r="C604" i="1" l="1"/>
  <c r="D604" i="1" s="1"/>
  <c r="B605" i="1" s="1"/>
  <c r="C605" i="1" l="1"/>
  <c r="D605" i="1" s="1"/>
  <c r="B606" i="1" s="1"/>
  <c r="C606" i="1" l="1"/>
  <c r="D606" i="1" s="1"/>
  <c r="B607" i="1" s="1"/>
  <c r="C607" i="1" l="1"/>
  <c r="D607" i="1" s="1"/>
  <c r="B608" i="1" s="1"/>
  <c r="C608" i="1" l="1"/>
  <c r="D608" i="1" s="1"/>
  <c r="B609" i="1" s="1"/>
  <c r="C609" i="1" l="1"/>
  <c r="D609" i="1" s="1"/>
  <c r="B610" i="1" s="1"/>
  <c r="C610" i="1" l="1"/>
  <c r="D610" i="1" s="1"/>
  <c r="B611" i="1" s="1"/>
  <c r="C611" i="1" l="1"/>
  <c r="D611" i="1" s="1"/>
  <c r="B612" i="1" s="1"/>
  <c r="C612" i="1" l="1"/>
  <c r="D612" i="1" s="1"/>
  <c r="B613" i="1" s="1"/>
  <c r="C613" i="1" l="1"/>
  <c r="D613" i="1" s="1"/>
  <c r="B614" i="1" s="1"/>
  <c r="C614" i="1" l="1"/>
  <c r="D614" i="1" s="1"/>
  <c r="B615" i="1" s="1"/>
  <c r="C615" i="1" l="1"/>
  <c r="D615" i="1" s="1"/>
  <c r="B616" i="1" s="1"/>
  <c r="C616" i="1" l="1"/>
  <c r="D616" i="1" s="1"/>
  <c r="B617" i="1" s="1"/>
  <c r="C617" i="1" l="1"/>
  <c r="D617" i="1" s="1"/>
  <c r="B618" i="1" s="1"/>
  <c r="C618" i="1" l="1"/>
  <c r="D618" i="1" s="1"/>
  <c r="B619" i="1" s="1"/>
  <c r="C619" i="1" l="1"/>
  <c r="D619" i="1" s="1"/>
  <c r="B620" i="1" s="1"/>
  <c r="C620" i="1" l="1"/>
  <c r="D620" i="1" s="1"/>
  <c r="B621" i="1" s="1"/>
  <c r="C621" i="1" l="1"/>
  <c r="D621" i="1" s="1"/>
  <c r="B622" i="1" s="1"/>
  <c r="C622" i="1" l="1"/>
  <c r="D622" i="1" s="1"/>
  <c r="B623" i="1" s="1"/>
  <c r="C623" i="1" l="1"/>
  <c r="D623" i="1" s="1"/>
  <c r="B624" i="1" s="1"/>
  <c r="C624" i="1" l="1"/>
  <c r="D624" i="1" s="1"/>
  <c r="B625" i="1" s="1"/>
  <c r="C625" i="1" l="1"/>
  <c r="D625" i="1" s="1"/>
  <c r="B626" i="1" s="1"/>
  <c r="C626" i="1" l="1"/>
  <c r="D626" i="1" s="1"/>
  <c r="B627" i="1" s="1"/>
  <c r="C627" i="1" l="1"/>
  <c r="D627" i="1" s="1"/>
  <c r="B628" i="1" s="1"/>
  <c r="C628" i="1" l="1"/>
  <c r="D628" i="1" s="1"/>
  <c r="B629" i="1" s="1"/>
  <c r="C629" i="1" l="1"/>
  <c r="D629" i="1" s="1"/>
  <c r="B630" i="1" s="1"/>
  <c r="C630" i="1" l="1"/>
  <c r="D630" i="1" s="1"/>
  <c r="B631" i="1" s="1"/>
  <c r="C631" i="1" l="1"/>
  <c r="D631" i="1" s="1"/>
  <c r="B632" i="1" s="1"/>
  <c r="C632" i="1" l="1"/>
  <c r="D632" i="1" s="1"/>
  <c r="B633" i="1" s="1"/>
  <c r="C633" i="1" l="1"/>
  <c r="D633" i="1" s="1"/>
  <c r="B634" i="1" s="1"/>
  <c r="C634" i="1" l="1"/>
  <c r="D634" i="1" s="1"/>
  <c r="B635" i="1" s="1"/>
  <c r="C635" i="1" l="1"/>
  <c r="D635" i="1" s="1"/>
  <c r="B636" i="1" s="1"/>
  <c r="C636" i="1" l="1"/>
  <c r="D636" i="1" s="1"/>
  <c r="B637" i="1" s="1"/>
  <c r="C637" i="1" l="1"/>
  <c r="D637" i="1" s="1"/>
  <c r="B638" i="1" s="1"/>
  <c r="C638" i="1" l="1"/>
  <c r="D638" i="1" s="1"/>
  <c r="B639" i="1" s="1"/>
  <c r="C639" i="1" l="1"/>
  <c r="D639" i="1" s="1"/>
  <c r="B640" i="1" s="1"/>
  <c r="C640" i="1" l="1"/>
  <c r="D640" i="1" s="1"/>
  <c r="B641" i="1" s="1"/>
  <c r="C641" i="1" l="1"/>
  <c r="D641" i="1" s="1"/>
  <c r="B642" i="1" s="1"/>
  <c r="C642" i="1" l="1"/>
  <c r="D642" i="1" s="1"/>
  <c r="B643" i="1" s="1"/>
  <c r="C643" i="1" l="1"/>
  <c r="D643" i="1" s="1"/>
  <c r="B644" i="1" s="1"/>
  <c r="C644" i="1" l="1"/>
  <c r="D644" i="1" s="1"/>
  <c r="B645" i="1" s="1"/>
  <c r="C645" i="1" l="1"/>
  <c r="D645" i="1" s="1"/>
  <c r="B646" i="1" s="1"/>
  <c r="C646" i="1" l="1"/>
  <c r="D646" i="1" s="1"/>
  <c r="B647" i="1" s="1"/>
  <c r="C647" i="1" l="1"/>
  <c r="D647" i="1" s="1"/>
  <c r="B648" i="1" s="1"/>
  <c r="C648" i="1" l="1"/>
  <c r="D648" i="1" s="1"/>
  <c r="B649" i="1" s="1"/>
  <c r="C649" i="1" l="1"/>
  <c r="D649" i="1" s="1"/>
  <c r="B650" i="1" s="1"/>
  <c r="C650" i="1" l="1"/>
  <c r="D650" i="1" s="1"/>
  <c r="B651" i="1" s="1"/>
  <c r="C651" i="1" l="1"/>
  <c r="D651" i="1" s="1"/>
  <c r="B652" i="1" s="1"/>
  <c r="C652" i="1" l="1"/>
  <c r="D652" i="1" s="1"/>
  <c r="B653" i="1" s="1"/>
  <c r="C653" i="1" l="1"/>
  <c r="D653" i="1" s="1"/>
  <c r="B654" i="1" s="1"/>
  <c r="C654" i="1" l="1"/>
  <c r="D654" i="1" s="1"/>
  <c r="B655" i="1" s="1"/>
  <c r="C655" i="1" l="1"/>
  <c r="D655" i="1" s="1"/>
  <c r="B656" i="1" s="1"/>
  <c r="C656" i="1" l="1"/>
  <c r="D656" i="1" s="1"/>
  <c r="B657" i="1" s="1"/>
  <c r="C657" i="1" l="1"/>
  <c r="D657" i="1" s="1"/>
  <c r="B658" i="1" s="1"/>
  <c r="C658" i="1" l="1"/>
  <c r="D658" i="1" s="1"/>
  <c r="B659" i="1" s="1"/>
  <c r="C659" i="1" l="1"/>
  <c r="D659" i="1" s="1"/>
  <c r="B660" i="1" s="1"/>
  <c r="C660" i="1" l="1"/>
  <c r="D660" i="1" s="1"/>
  <c r="B661" i="1" s="1"/>
  <c r="C661" i="1" l="1"/>
  <c r="D661" i="1" s="1"/>
  <c r="B662" i="1" s="1"/>
  <c r="C662" i="1" l="1"/>
  <c r="D662" i="1" s="1"/>
  <c r="B663" i="1" s="1"/>
  <c r="C663" i="1" l="1"/>
  <c r="D663" i="1" s="1"/>
  <c r="B664" i="1" s="1"/>
  <c r="C664" i="1" l="1"/>
  <c r="D664" i="1" s="1"/>
  <c r="B665" i="1" s="1"/>
  <c r="C665" i="1" l="1"/>
  <c r="D665" i="1" s="1"/>
  <c r="B666" i="1" s="1"/>
  <c r="C666" i="1" l="1"/>
  <c r="D666" i="1" s="1"/>
  <c r="B667" i="1" s="1"/>
  <c r="C667" i="1" l="1"/>
  <c r="D667" i="1" s="1"/>
  <c r="B668" i="1" s="1"/>
  <c r="C668" i="1" l="1"/>
  <c r="D668" i="1" s="1"/>
  <c r="B669" i="1" s="1"/>
  <c r="C669" i="1" l="1"/>
  <c r="D669" i="1" s="1"/>
  <c r="B670" i="1" s="1"/>
  <c r="C670" i="1" l="1"/>
  <c r="D670" i="1" s="1"/>
  <c r="B671" i="1" s="1"/>
  <c r="C671" i="1" l="1"/>
  <c r="D671" i="1" s="1"/>
  <c r="B672" i="1" s="1"/>
  <c r="C672" i="1" l="1"/>
  <c r="D672" i="1" s="1"/>
  <c r="B673" i="1" s="1"/>
  <c r="C673" i="1" l="1"/>
  <c r="D673" i="1" s="1"/>
  <c r="B674" i="1" s="1"/>
  <c r="C674" i="1" l="1"/>
  <c r="D674" i="1" s="1"/>
  <c r="B675" i="1" s="1"/>
  <c r="C675" i="1" l="1"/>
  <c r="D675" i="1" s="1"/>
  <c r="B676" i="1" s="1"/>
  <c r="C676" i="1" l="1"/>
  <c r="D676" i="1" s="1"/>
  <c r="B677" i="1" s="1"/>
  <c r="C677" i="1" l="1"/>
  <c r="D677" i="1" s="1"/>
  <c r="B678" i="1" s="1"/>
  <c r="C678" i="1" l="1"/>
  <c r="D678" i="1" s="1"/>
  <c r="B679" i="1" s="1"/>
  <c r="C679" i="1" l="1"/>
  <c r="D679" i="1" s="1"/>
  <c r="B680" i="1" s="1"/>
  <c r="C680" i="1" l="1"/>
  <c r="D680" i="1" s="1"/>
  <c r="B681" i="1" s="1"/>
  <c r="C681" i="1" l="1"/>
  <c r="D681" i="1" s="1"/>
  <c r="B682" i="1" s="1"/>
  <c r="C682" i="1" l="1"/>
  <c r="D682" i="1" s="1"/>
  <c r="B683" i="1" s="1"/>
  <c r="C683" i="1" l="1"/>
  <c r="D683" i="1" s="1"/>
  <c r="B684" i="1" s="1"/>
  <c r="C684" i="1" l="1"/>
  <c r="D684" i="1" s="1"/>
  <c r="B685" i="1" s="1"/>
  <c r="C685" i="1" l="1"/>
  <c r="D685" i="1" s="1"/>
  <c r="B686" i="1" s="1"/>
  <c r="C686" i="1" l="1"/>
  <c r="D686" i="1" s="1"/>
  <c r="B687" i="1" s="1"/>
  <c r="C687" i="1" l="1"/>
  <c r="D687" i="1" s="1"/>
  <c r="B688" i="1" s="1"/>
  <c r="C688" i="1" l="1"/>
  <c r="D688" i="1" s="1"/>
  <c r="B689" i="1" s="1"/>
  <c r="C689" i="1" l="1"/>
  <c r="D689" i="1" s="1"/>
  <c r="B690" i="1" s="1"/>
  <c r="C690" i="1" l="1"/>
  <c r="D690" i="1" s="1"/>
  <c r="B691" i="1" s="1"/>
  <c r="C691" i="1" l="1"/>
  <c r="D691" i="1" s="1"/>
  <c r="B692" i="1" s="1"/>
  <c r="C692" i="1" l="1"/>
  <c r="D692" i="1" s="1"/>
  <c r="B693" i="1" s="1"/>
  <c r="C693" i="1" l="1"/>
  <c r="D693" i="1" s="1"/>
  <c r="B694" i="1" s="1"/>
  <c r="C694" i="1" l="1"/>
  <c r="D694" i="1" s="1"/>
  <c r="B695" i="1" s="1"/>
  <c r="C695" i="1" l="1"/>
  <c r="D695" i="1" s="1"/>
  <c r="B696" i="1" s="1"/>
  <c r="C696" i="1" l="1"/>
  <c r="D696" i="1" s="1"/>
  <c r="B697" i="1" s="1"/>
  <c r="C697" i="1" l="1"/>
  <c r="D697" i="1" s="1"/>
  <c r="B698" i="1" s="1"/>
  <c r="C698" i="1" l="1"/>
  <c r="D698" i="1" s="1"/>
  <c r="B699" i="1" s="1"/>
  <c r="C699" i="1" l="1"/>
  <c r="D699" i="1" s="1"/>
  <c r="B700" i="1" s="1"/>
  <c r="C700" i="1" l="1"/>
  <c r="D700" i="1" s="1"/>
  <c r="B701" i="1" s="1"/>
  <c r="C701" i="1" l="1"/>
  <c r="D701" i="1" s="1"/>
  <c r="B702" i="1" s="1"/>
  <c r="C702" i="1" l="1"/>
  <c r="D702" i="1" s="1"/>
  <c r="B703" i="1" s="1"/>
  <c r="C703" i="1" l="1"/>
  <c r="D703" i="1" s="1"/>
  <c r="B704" i="1" s="1"/>
  <c r="C704" i="1" l="1"/>
  <c r="D704" i="1" s="1"/>
  <c r="B705" i="1" s="1"/>
  <c r="C705" i="1" l="1"/>
  <c r="D705" i="1" s="1"/>
  <c r="B706" i="1" s="1"/>
  <c r="C706" i="1" l="1"/>
  <c r="D706" i="1" s="1"/>
  <c r="B707" i="1" s="1"/>
  <c r="C707" i="1" l="1"/>
  <c r="D707" i="1" s="1"/>
  <c r="B708" i="1" s="1"/>
  <c r="C708" i="1" l="1"/>
  <c r="D708" i="1" s="1"/>
  <c r="B709" i="1" s="1"/>
  <c r="C709" i="1" l="1"/>
  <c r="D709" i="1" s="1"/>
  <c r="B710" i="1" s="1"/>
  <c r="C710" i="1" l="1"/>
  <c r="D710" i="1" s="1"/>
  <c r="B711" i="1" s="1"/>
  <c r="C711" i="1" l="1"/>
  <c r="D711" i="1" s="1"/>
  <c r="B712" i="1" s="1"/>
  <c r="C712" i="1" l="1"/>
  <c r="D712" i="1" s="1"/>
  <c r="B713" i="1" s="1"/>
  <c r="C713" i="1" l="1"/>
  <c r="D713" i="1" s="1"/>
  <c r="B714" i="1" s="1"/>
  <c r="C714" i="1" l="1"/>
  <c r="D714" i="1" s="1"/>
  <c r="B715" i="1" s="1"/>
  <c r="C715" i="1" l="1"/>
  <c r="D715" i="1" s="1"/>
  <c r="B716" i="1" s="1"/>
  <c r="C716" i="1" l="1"/>
  <c r="D716" i="1" s="1"/>
  <c r="B717" i="1" s="1"/>
  <c r="C717" i="1" l="1"/>
  <c r="D717" i="1" s="1"/>
  <c r="B718" i="1" s="1"/>
  <c r="C718" i="1" l="1"/>
  <c r="D718" i="1" s="1"/>
  <c r="B719" i="1" s="1"/>
  <c r="C719" i="1" l="1"/>
  <c r="D719" i="1" s="1"/>
  <c r="B720" i="1" s="1"/>
  <c r="C720" i="1" l="1"/>
  <c r="D720" i="1" s="1"/>
  <c r="B721" i="1" s="1"/>
  <c r="C721" i="1" l="1"/>
  <c r="D721" i="1" s="1"/>
  <c r="B722" i="1" s="1"/>
  <c r="C722" i="1" l="1"/>
  <c r="D722" i="1" s="1"/>
  <c r="B723" i="1" s="1"/>
  <c r="C723" i="1" l="1"/>
  <c r="D723" i="1" s="1"/>
  <c r="B724" i="1" s="1"/>
  <c r="C724" i="1" l="1"/>
  <c r="D724" i="1" s="1"/>
  <c r="B725" i="1" s="1"/>
  <c r="C725" i="1" l="1"/>
  <c r="D725" i="1" s="1"/>
  <c r="B726" i="1" s="1"/>
  <c r="C726" i="1" l="1"/>
  <c r="D726" i="1" s="1"/>
  <c r="B727" i="1" s="1"/>
  <c r="C727" i="1" l="1"/>
  <c r="D727" i="1" s="1"/>
  <c r="B728" i="1" s="1"/>
  <c r="C728" i="1" l="1"/>
  <c r="D728" i="1" s="1"/>
  <c r="B729" i="1" s="1"/>
  <c r="C729" i="1" l="1"/>
  <c r="D729" i="1" s="1"/>
  <c r="B730" i="1" s="1"/>
  <c r="C730" i="1" l="1"/>
  <c r="D730" i="1" s="1"/>
  <c r="B731" i="1" s="1"/>
  <c r="C731" i="1" l="1"/>
  <c r="D731" i="1" s="1"/>
  <c r="B732" i="1" s="1"/>
  <c r="C732" i="1" l="1"/>
  <c r="D732" i="1" s="1"/>
  <c r="B733" i="1" s="1"/>
  <c r="C733" i="1" l="1"/>
  <c r="D733" i="1" s="1"/>
  <c r="B734" i="1" s="1"/>
  <c r="C734" i="1" l="1"/>
  <c r="D734" i="1" s="1"/>
  <c r="B735" i="1" s="1"/>
  <c r="C735" i="1" l="1"/>
  <c r="D735" i="1" s="1"/>
  <c r="B736" i="1" s="1"/>
  <c r="C736" i="1" l="1"/>
  <c r="D736" i="1" s="1"/>
  <c r="B737" i="1" s="1"/>
  <c r="C737" i="1" l="1"/>
  <c r="D737" i="1" s="1"/>
  <c r="B738" i="1" s="1"/>
  <c r="C738" i="1" l="1"/>
  <c r="D738" i="1" s="1"/>
  <c r="B739" i="1" s="1"/>
  <c r="C739" i="1" l="1"/>
  <c r="D739" i="1" s="1"/>
  <c r="B740" i="1" s="1"/>
  <c r="C740" i="1" l="1"/>
  <c r="D740" i="1" s="1"/>
  <c r="B741" i="1" s="1"/>
  <c r="C741" i="1" l="1"/>
  <c r="D741" i="1" s="1"/>
  <c r="B742" i="1" s="1"/>
  <c r="C742" i="1" l="1"/>
  <c r="D742" i="1" s="1"/>
  <c r="B743" i="1" s="1"/>
  <c r="C743" i="1" l="1"/>
  <c r="D743" i="1" s="1"/>
  <c r="B744" i="1" s="1"/>
  <c r="C744" i="1" l="1"/>
  <c r="D744" i="1" s="1"/>
  <c r="B745" i="1" s="1"/>
  <c r="C745" i="1" l="1"/>
  <c r="D745" i="1" s="1"/>
  <c r="B746" i="1" s="1"/>
  <c r="C746" i="1" l="1"/>
  <c r="D746" i="1" s="1"/>
  <c r="B747" i="1" s="1"/>
  <c r="C747" i="1" l="1"/>
  <c r="D747" i="1" s="1"/>
  <c r="B748" i="1" s="1"/>
  <c r="C748" i="1" l="1"/>
  <c r="D748" i="1" s="1"/>
  <c r="B749" i="1" s="1"/>
  <c r="C749" i="1" l="1"/>
  <c r="D749" i="1" s="1"/>
  <c r="B750" i="1" s="1"/>
  <c r="C750" i="1" l="1"/>
  <c r="D750" i="1" s="1"/>
  <c r="B751" i="1" s="1"/>
  <c r="C751" i="1" l="1"/>
  <c r="D751" i="1" s="1"/>
  <c r="B752" i="1" s="1"/>
  <c r="C752" i="1" l="1"/>
  <c r="D752" i="1" s="1"/>
  <c r="B753" i="1" s="1"/>
  <c r="C753" i="1" l="1"/>
  <c r="D753" i="1" s="1"/>
  <c r="B754" i="1" s="1"/>
  <c r="C754" i="1" l="1"/>
  <c r="D754" i="1" s="1"/>
  <c r="B755" i="1" s="1"/>
  <c r="C755" i="1" l="1"/>
  <c r="D755" i="1" s="1"/>
  <c r="B756" i="1" s="1"/>
  <c r="C756" i="1" l="1"/>
  <c r="D756" i="1" s="1"/>
  <c r="B757" i="1" s="1"/>
  <c r="C757" i="1" l="1"/>
  <c r="D757" i="1" s="1"/>
  <c r="B758" i="1" s="1"/>
  <c r="C758" i="1" l="1"/>
  <c r="D758" i="1" s="1"/>
  <c r="B759" i="1" s="1"/>
  <c r="C759" i="1" l="1"/>
  <c r="D759" i="1" s="1"/>
  <c r="B760" i="1" s="1"/>
  <c r="C760" i="1" l="1"/>
  <c r="D760" i="1" s="1"/>
  <c r="B761" i="1" s="1"/>
  <c r="C761" i="1" l="1"/>
  <c r="D761" i="1" s="1"/>
  <c r="B762" i="1" s="1"/>
  <c r="C762" i="1" l="1"/>
  <c r="D762" i="1" s="1"/>
  <c r="B763" i="1" s="1"/>
  <c r="C763" i="1" l="1"/>
  <c r="D763" i="1" s="1"/>
  <c r="B764" i="1" s="1"/>
  <c r="C764" i="1" l="1"/>
  <c r="D764" i="1" s="1"/>
  <c r="B765" i="1" s="1"/>
  <c r="C765" i="1" l="1"/>
  <c r="D765" i="1" s="1"/>
  <c r="B766" i="1" s="1"/>
  <c r="C766" i="1" l="1"/>
  <c r="D766" i="1" s="1"/>
  <c r="B767" i="1" s="1"/>
  <c r="C767" i="1" l="1"/>
  <c r="D767" i="1" s="1"/>
  <c r="B768" i="1" s="1"/>
  <c r="C768" i="1" l="1"/>
  <c r="D768" i="1" s="1"/>
  <c r="B769" i="1" s="1"/>
  <c r="C769" i="1" l="1"/>
  <c r="D769" i="1" s="1"/>
  <c r="B770" i="1" s="1"/>
  <c r="C770" i="1" l="1"/>
  <c r="D770" i="1" s="1"/>
  <c r="B771" i="1" s="1"/>
  <c r="C771" i="1" l="1"/>
  <c r="D771" i="1" s="1"/>
  <c r="B772" i="1" s="1"/>
  <c r="C772" i="1" l="1"/>
  <c r="D772" i="1" s="1"/>
  <c r="B773" i="1" s="1"/>
  <c r="C773" i="1" l="1"/>
  <c r="D773" i="1" s="1"/>
  <c r="B774" i="1" s="1"/>
  <c r="C774" i="1" l="1"/>
  <c r="D774" i="1" s="1"/>
  <c r="B775" i="1" s="1"/>
  <c r="C775" i="1" l="1"/>
  <c r="D775" i="1" s="1"/>
  <c r="B776" i="1" s="1"/>
  <c r="C776" i="1" l="1"/>
  <c r="D776" i="1" s="1"/>
  <c r="B777" i="1" s="1"/>
  <c r="C777" i="1" l="1"/>
  <c r="D777" i="1" s="1"/>
  <c r="B778" i="1" s="1"/>
  <c r="C778" i="1" l="1"/>
  <c r="D778" i="1" s="1"/>
  <c r="B779" i="1" s="1"/>
  <c r="C779" i="1" l="1"/>
  <c r="D779" i="1" s="1"/>
  <c r="B780" i="1" s="1"/>
  <c r="C780" i="1" l="1"/>
  <c r="D780" i="1" s="1"/>
  <c r="B781" i="1" s="1"/>
  <c r="C781" i="1" l="1"/>
  <c r="D781" i="1" s="1"/>
  <c r="B782" i="1" s="1"/>
  <c r="C782" i="1" l="1"/>
  <c r="D782" i="1" s="1"/>
  <c r="B783" i="1" s="1"/>
  <c r="C783" i="1" l="1"/>
  <c r="D783" i="1" s="1"/>
  <c r="B784" i="1" s="1"/>
  <c r="C784" i="1" l="1"/>
  <c r="D784" i="1" s="1"/>
  <c r="B785" i="1" s="1"/>
  <c r="C785" i="1" l="1"/>
  <c r="D785" i="1" s="1"/>
  <c r="B786" i="1" s="1"/>
  <c r="C786" i="1" l="1"/>
  <c r="D786" i="1" s="1"/>
  <c r="B787" i="1" s="1"/>
  <c r="C787" i="1" l="1"/>
  <c r="D787" i="1" s="1"/>
  <c r="B788" i="1" s="1"/>
  <c r="C788" i="1" l="1"/>
  <c r="D788" i="1" s="1"/>
  <c r="B789" i="1" s="1"/>
  <c r="C789" i="1" l="1"/>
  <c r="D789" i="1" s="1"/>
  <c r="B790" i="1" s="1"/>
  <c r="C790" i="1" l="1"/>
  <c r="D790" i="1" s="1"/>
  <c r="B791" i="1" s="1"/>
  <c r="C791" i="1" l="1"/>
  <c r="D791" i="1" s="1"/>
  <c r="B792" i="1" s="1"/>
  <c r="C792" i="1" l="1"/>
  <c r="D792" i="1" s="1"/>
  <c r="B793" i="1" s="1"/>
  <c r="C793" i="1" l="1"/>
  <c r="D793" i="1" s="1"/>
  <c r="B794" i="1" s="1"/>
  <c r="C794" i="1" l="1"/>
  <c r="D794" i="1" s="1"/>
  <c r="B795" i="1" s="1"/>
  <c r="C795" i="1" l="1"/>
  <c r="D795" i="1" s="1"/>
  <c r="B796" i="1" s="1"/>
  <c r="C796" i="1" l="1"/>
  <c r="D796" i="1" s="1"/>
  <c r="B797" i="1" s="1"/>
  <c r="C797" i="1" l="1"/>
  <c r="D797" i="1" s="1"/>
  <c r="B798" i="1" s="1"/>
  <c r="C798" i="1" l="1"/>
  <c r="D798" i="1" s="1"/>
  <c r="B799" i="1" s="1"/>
  <c r="C799" i="1" l="1"/>
  <c r="D799" i="1" s="1"/>
  <c r="B800" i="1" s="1"/>
  <c r="C800" i="1" l="1"/>
  <c r="D800" i="1" s="1"/>
  <c r="B801" i="1" s="1"/>
  <c r="C801" i="1" l="1"/>
  <c r="D801" i="1" s="1"/>
  <c r="B802" i="1" s="1"/>
  <c r="C802" i="1" l="1"/>
  <c r="D802" i="1" s="1"/>
  <c r="B803" i="1" s="1"/>
  <c r="C803" i="1" l="1"/>
  <c r="D803" i="1" s="1"/>
  <c r="B804" i="1" s="1"/>
  <c r="C804" i="1" l="1"/>
  <c r="D804" i="1" s="1"/>
  <c r="B805" i="1" s="1"/>
  <c r="C805" i="1" l="1"/>
  <c r="D805" i="1" s="1"/>
  <c r="B806" i="1" s="1"/>
  <c r="C806" i="1" l="1"/>
  <c r="D806" i="1" s="1"/>
  <c r="B807" i="1" s="1"/>
  <c r="C807" i="1" l="1"/>
  <c r="D807" i="1" s="1"/>
  <c r="B808" i="1" s="1"/>
  <c r="C808" i="1" l="1"/>
  <c r="D808" i="1" s="1"/>
  <c r="B809" i="1" s="1"/>
  <c r="C809" i="1" l="1"/>
  <c r="D809" i="1" s="1"/>
  <c r="B810" i="1" s="1"/>
  <c r="C810" i="1" l="1"/>
  <c r="D810" i="1" s="1"/>
  <c r="B811" i="1" s="1"/>
  <c r="C811" i="1" l="1"/>
  <c r="D811" i="1" s="1"/>
  <c r="B812" i="1" s="1"/>
  <c r="C812" i="1" l="1"/>
  <c r="D812" i="1" s="1"/>
  <c r="B813" i="1" s="1"/>
  <c r="C813" i="1" l="1"/>
  <c r="D813" i="1" s="1"/>
  <c r="B814" i="1" s="1"/>
  <c r="C814" i="1" l="1"/>
  <c r="D814" i="1" s="1"/>
  <c r="B815" i="1" s="1"/>
  <c r="C815" i="1" l="1"/>
  <c r="D815" i="1" s="1"/>
  <c r="B816" i="1" s="1"/>
  <c r="C816" i="1" l="1"/>
  <c r="D816" i="1" s="1"/>
  <c r="B817" i="1" s="1"/>
  <c r="C817" i="1" l="1"/>
  <c r="D817" i="1" s="1"/>
  <c r="B818" i="1" s="1"/>
  <c r="C818" i="1" l="1"/>
  <c r="D818" i="1" s="1"/>
  <c r="B819" i="1" s="1"/>
  <c r="C819" i="1" l="1"/>
  <c r="D819" i="1" s="1"/>
  <c r="B820" i="1" s="1"/>
  <c r="C820" i="1" l="1"/>
  <c r="D820" i="1" s="1"/>
  <c r="B821" i="1" s="1"/>
  <c r="C821" i="1" l="1"/>
  <c r="D821" i="1" s="1"/>
  <c r="B822" i="1" s="1"/>
  <c r="C822" i="1" l="1"/>
  <c r="D822" i="1" s="1"/>
  <c r="B823" i="1" s="1"/>
  <c r="C823" i="1" l="1"/>
  <c r="D823" i="1" s="1"/>
  <c r="B824" i="1" s="1"/>
  <c r="C824" i="1" l="1"/>
  <c r="D824" i="1" s="1"/>
  <c r="B825" i="1" s="1"/>
  <c r="C825" i="1" l="1"/>
  <c r="D825" i="1" s="1"/>
  <c r="B826" i="1" s="1"/>
  <c r="C826" i="1" l="1"/>
  <c r="D826" i="1" s="1"/>
  <c r="B827" i="1" s="1"/>
  <c r="C827" i="1" l="1"/>
  <c r="D827" i="1" s="1"/>
  <c r="B828" i="1" s="1"/>
  <c r="C828" i="1" l="1"/>
  <c r="D828" i="1" s="1"/>
  <c r="B829" i="1" s="1"/>
  <c r="C829" i="1" l="1"/>
  <c r="D829" i="1" s="1"/>
  <c r="B830" i="1" s="1"/>
  <c r="C830" i="1" l="1"/>
  <c r="D830" i="1" s="1"/>
  <c r="B831" i="1" s="1"/>
  <c r="C831" i="1" l="1"/>
  <c r="D831" i="1" s="1"/>
  <c r="B832" i="1" s="1"/>
  <c r="C832" i="1" l="1"/>
  <c r="D832" i="1" s="1"/>
  <c r="B833" i="1" s="1"/>
  <c r="C833" i="1" l="1"/>
  <c r="D833" i="1" s="1"/>
  <c r="B834" i="1" s="1"/>
  <c r="C834" i="1" l="1"/>
  <c r="D834" i="1" s="1"/>
  <c r="B835" i="1" s="1"/>
  <c r="C835" i="1" l="1"/>
  <c r="D835" i="1" s="1"/>
  <c r="B836" i="1" s="1"/>
  <c r="C836" i="1" l="1"/>
  <c r="D836" i="1" s="1"/>
  <c r="B837" i="1" s="1"/>
  <c r="C837" i="1" l="1"/>
  <c r="D837" i="1" s="1"/>
  <c r="B838" i="1" s="1"/>
  <c r="C838" i="1" l="1"/>
  <c r="D838" i="1" s="1"/>
  <c r="B839" i="1" s="1"/>
  <c r="C839" i="1" l="1"/>
  <c r="D839" i="1" s="1"/>
  <c r="B840" i="1" s="1"/>
  <c r="C840" i="1" l="1"/>
  <c r="D840" i="1" s="1"/>
  <c r="B841" i="1" s="1"/>
  <c r="C841" i="1" l="1"/>
  <c r="D841" i="1" s="1"/>
  <c r="B842" i="1" s="1"/>
  <c r="C842" i="1" l="1"/>
  <c r="D842" i="1" s="1"/>
  <c r="B843" i="1" s="1"/>
  <c r="C843" i="1" l="1"/>
  <c r="D843" i="1" s="1"/>
  <c r="B844" i="1" s="1"/>
  <c r="C844" i="1" l="1"/>
  <c r="D844" i="1" s="1"/>
  <c r="B845" i="1" s="1"/>
  <c r="C845" i="1" l="1"/>
  <c r="D845" i="1" s="1"/>
  <c r="B846" i="1" s="1"/>
  <c r="C846" i="1" l="1"/>
  <c r="D846" i="1" s="1"/>
  <c r="B847" i="1" s="1"/>
  <c r="C847" i="1" l="1"/>
  <c r="D847" i="1" s="1"/>
  <c r="B848" i="1" s="1"/>
  <c r="C848" i="1" l="1"/>
  <c r="D848" i="1" s="1"/>
  <c r="B849" i="1" s="1"/>
  <c r="C849" i="1" l="1"/>
  <c r="D849" i="1" s="1"/>
  <c r="B850" i="1" s="1"/>
  <c r="C850" i="1" l="1"/>
  <c r="D850" i="1" s="1"/>
  <c r="B851" i="1" s="1"/>
  <c r="C851" i="1" l="1"/>
  <c r="D851" i="1" s="1"/>
  <c r="B852" i="1" s="1"/>
  <c r="C852" i="1" l="1"/>
  <c r="D852" i="1" s="1"/>
  <c r="B853" i="1" s="1"/>
  <c r="C853" i="1" l="1"/>
  <c r="D853" i="1" s="1"/>
  <c r="B854" i="1" s="1"/>
  <c r="C854" i="1" l="1"/>
  <c r="D854" i="1" s="1"/>
  <c r="B855" i="1" s="1"/>
  <c r="C855" i="1" l="1"/>
  <c r="D855" i="1" s="1"/>
  <c r="B856" i="1" s="1"/>
  <c r="C856" i="1" l="1"/>
  <c r="D856" i="1" s="1"/>
  <c r="B857" i="1" s="1"/>
  <c r="C857" i="1" l="1"/>
  <c r="D857" i="1" s="1"/>
  <c r="B858" i="1" s="1"/>
  <c r="C858" i="1" l="1"/>
  <c r="D858" i="1" s="1"/>
  <c r="B859" i="1" s="1"/>
  <c r="C859" i="1" l="1"/>
  <c r="D859" i="1" s="1"/>
  <c r="B860" i="1" s="1"/>
  <c r="C860" i="1" l="1"/>
  <c r="D860" i="1" s="1"/>
  <c r="B861" i="1" s="1"/>
  <c r="C861" i="1" l="1"/>
  <c r="D861" i="1" s="1"/>
  <c r="B862" i="1" s="1"/>
  <c r="C862" i="1" l="1"/>
  <c r="D862" i="1" s="1"/>
  <c r="B863" i="1" s="1"/>
  <c r="C863" i="1" l="1"/>
  <c r="D863" i="1" s="1"/>
  <c r="B864" i="1" s="1"/>
  <c r="C864" i="1" l="1"/>
  <c r="D864" i="1" s="1"/>
  <c r="B865" i="1" s="1"/>
  <c r="C865" i="1" l="1"/>
  <c r="D865" i="1" s="1"/>
  <c r="B866" i="1" s="1"/>
  <c r="C866" i="1" l="1"/>
  <c r="D866" i="1" s="1"/>
  <c r="B867" i="1" s="1"/>
  <c r="C867" i="1" l="1"/>
  <c r="D867" i="1" s="1"/>
  <c r="B868" i="1" s="1"/>
  <c r="C868" i="1" l="1"/>
  <c r="D868" i="1" s="1"/>
  <c r="B869" i="1" s="1"/>
  <c r="C869" i="1" l="1"/>
  <c r="D869" i="1" s="1"/>
  <c r="B870" i="1" s="1"/>
  <c r="C870" i="1" l="1"/>
  <c r="D870" i="1" s="1"/>
  <c r="B871" i="1" s="1"/>
  <c r="C871" i="1" l="1"/>
  <c r="D871" i="1" s="1"/>
  <c r="B872" i="1" s="1"/>
  <c r="C872" i="1" l="1"/>
  <c r="D872" i="1" s="1"/>
  <c r="B873" i="1" s="1"/>
  <c r="C873" i="1" l="1"/>
  <c r="D873" i="1" s="1"/>
  <c r="B874" i="1" s="1"/>
  <c r="C874" i="1" l="1"/>
  <c r="D874" i="1" s="1"/>
  <c r="B875" i="1" s="1"/>
  <c r="C875" i="1" l="1"/>
  <c r="D875" i="1" s="1"/>
  <c r="B876" i="1" s="1"/>
  <c r="C876" i="1" l="1"/>
  <c r="D876" i="1" s="1"/>
  <c r="B877" i="1" s="1"/>
  <c r="C877" i="1" l="1"/>
  <c r="D877" i="1" s="1"/>
  <c r="B878" i="1" s="1"/>
  <c r="C878" i="1" l="1"/>
  <c r="D878" i="1" s="1"/>
  <c r="B879" i="1" s="1"/>
  <c r="C879" i="1" l="1"/>
  <c r="D879" i="1" s="1"/>
  <c r="B880" i="1" s="1"/>
  <c r="C880" i="1" l="1"/>
  <c r="D880" i="1" s="1"/>
  <c r="B881" i="1" s="1"/>
  <c r="C881" i="1" l="1"/>
  <c r="D881" i="1" s="1"/>
  <c r="B882" i="1" s="1"/>
  <c r="C882" i="1" l="1"/>
  <c r="D882" i="1" s="1"/>
  <c r="B883" i="1" s="1"/>
  <c r="C883" i="1" l="1"/>
  <c r="D883" i="1" s="1"/>
  <c r="B884" i="1" s="1"/>
  <c r="C884" i="1" l="1"/>
  <c r="D884" i="1" s="1"/>
  <c r="B885" i="1" s="1"/>
  <c r="C885" i="1" l="1"/>
  <c r="D885" i="1" s="1"/>
  <c r="B886" i="1" s="1"/>
  <c r="C886" i="1" l="1"/>
  <c r="D886" i="1" s="1"/>
  <c r="B887" i="1" s="1"/>
  <c r="C887" i="1" l="1"/>
  <c r="D887" i="1" s="1"/>
  <c r="B888" i="1" s="1"/>
  <c r="C888" i="1" l="1"/>
  <c r="D888" i="1" s="1"/>
  <c r="B889" i="1" s="1"/>
  <c r="C889" i="1" l="1"/>
  <c r="D889" i="1" s="1"/>
  <c r="B890" i="1" s="1"/>
  <c r="C890" i="1" l="1"/>
  <c r="D890" i="1" s="1"/>
  <c r="B891" i="1" s="1"/>
  <c r="C891" i="1" l="1"/>
  <c r="D891" i="1" s="1"/>
  <c r="B892" i="1" s="1"/>
  <c r="C892" i="1" l="1"/>
  <c r="D892" i="1" s="1"/>
  <c r="B893" i="1" s="1"/>
  <c r="C893" i="1" l="1"/>
  <c r="D893" i="1" s="1"/>
  <c r="B894" i="1" s="1"/>
  <c r="C894" i="1" l="1"/>
  <c r="D894" i="1" s="1"/>
  <c r="B895" i="1" s="1"/>
  <c r="C895" i="1" l="1"/>
  <c r="D895" i="1" s="1"/>
  <c r="B896" i="1" s="1"/>
  <c r="C896" i="1" l="1"/>
  <c r="D896" i="1" s="1"/>
  <c r="B897" i="1" s="1"/>
  <c r="C897" i="1" l="1"/>
  <c r="D897" i="1" s="1"/>
  <c r="B898" i="1" s="1"/>
  <c r="C898" i="1" l="1"/>
  <c r="D898" i="1" s="1"/>
  <c r="B899" i="1" s="1"/>
  <c r="C899" i="1" l="1"/>
  <c r="D899" i="1" s="1"/>
  <c r="B900" i="1" s="1"/>
  <c r="C900" i="1" l="1"/>
  <c r="D900" i="1" s="1"/>
  <c r="B901" i="1" s="1"/>
  <c r="C901" i="1" l="1"/>
  <c r="D901" i="1" s="1"/>
  <c r="B902" i="1" s="1"/>
  <c r="C902" i="1" l="1"/>
  <c r="D902" i="1" s="1"/>
  <c r="B903" i="1" s="1"/>
  <c r="C903" i="1" l="1"/>
  <c r="D903" i="1" s="1"/>
  <c r="B904" i="1" s="1"/>
  <c r="C904" i="1" l="1"/>
  <c r="D904" i="1" s="1"/>
  <c r="B905" i="1" s="1"/>
  <c r="C905" i="1" l="1"/>
  <c r="D905" i="1" s="1"/>
  <c r="B906" i="1" s="1"/>
  <c r="C906" i="1" l="1"/>
  <c r="D906" i="1" s="1"/>
  <c r="B907" i="1" s="1"/>
  <c r="C907" i="1" l="1"/>
  <c r="D907" i="1" s="1"/>
  <c r="B908" i="1" s="1"/>
  <c r="C908" i="1" l="1"/>
  <c r="D908" i="1" s="1"/>
  <c r="B909" i="1" s="1"/>
  <c r="C909" i="1" l="1"/>
  <c r="D909" i="1" s="1"/>
  <c r="B910" i="1" s="1"/>
  <c r="C910" i="1" l="1"/>
  <c r="D910" i="1" s="1"/>
  <c r="B911" i="1" s="1"/>
  <c r="C911" i="1" l="1"/>
  <c r="D911" i="1" s="1"/>
  <c r="B912" i="1" s="1"/>
  <c r="C912" i="1" l="1"/>
  <c r="D912" i="1" s="1"/>
  <c r="B913" i="1" s="1"/>
  <c r="C913" i="1" l="1"/>
  <c r="D913" i="1" s="1"/>
  <c r="B914" i="1" s="1"/>
  <c r="C914" i="1" l="1"/>
  <c r="D914" i="1" s="1"/>
  <c r="B915" i="1" s="1"/>
  <c r="C915" i="1" l="1"/>
  <c r="D915" i="1" s="1"/>
  <c r="B916" i="1" s="1"/>
  <c r="C916" i="1" l="1"/>
  <c r="D916" i="1" s="1"/>
  <c r="B917" i="1" s="1"/>
  <c r="C917" i="1" l="1"/>
  <c r="D917" i="1" s="1"/>
  <c r="B918" i="1" s="1"/>
  <c r="C918" i="1" l="1"/>
  <c r="D918" i="1" s="1"/>
  <c r="B919" i="1" s="1"/>
  <c r="C919" i="1" l="1"/>
  <c r="D919" i="1" s="1"/>
  <c r="B920" i="1" s="1"/>
  <c r="C920" i="1" l="1"/>
  <c r="D920" i="1" s="1"/>
  <c r="B921" i="1" s="1"/>
  <c r="C921" i="1" l="1"/>
  <c r="D921" i="1" s="1"/>
  <c r="B922" i="1" s="1"/>
  <c r="C922" i="1" l="1"/>
  <c r="D922" i="1" s="1"/>
  <c r="B923" i="1" s="1"/>
  <c r="C923" i="1" l="1"/>
  <c r="D923" i="1" s="1"/>
  <c r="B924" i="1" s="1"/>
  <c r="C924" i="1" l="1"/>
  <c r="D924" i="1" s="1"/>
  <c r="B925" i="1" s="1"/>
  <c r="C925" i="1" l="1"/>
  <c r="D925" i="1" s="1"/>
  <c r="B926" i="1" s="1"/>
  <c r="C926" i="1" l="1"/>
  <c r="D926" i="1" s="1"/>
  <c r="B927" i="1" s="1"/>
  <c r="C927" i="1" l="1"/>
  <c r="D927" i="1" s="1"/>
  <c r="B928" i="1" s="1"/>
  <c r="C928" i="1" l="1"/>
  <c r="D928" i="1" s="1"/>
  <c r="B929" i="1" s="1"/>
  <c r="C929" i="1" l="1"/>
  <c r="D929" i="1" s="1"/>
  <c r="B930" i="1" s="1"/>
  <c r="C930" i="1" l="1"/>
  <c r="D930" i="1" s="1"/>
  <c r="B931" i="1" s="1"/>
  <c r="C931" i="1" l="1"/>
  <c r="D931" i="1" s="1"/>
  <c r="B932" i="1" s="1"/>
  <c r="C932" i="1" l="1"/>
  <c r="D932" i="1" s="1"/>
  <c r="B933" i="1" s="1"/>
  <c r="C933" i="1" l="1"/>
  <c r="D933" i="1" s="1"/>
  <c r="B934" i="1" s="1"/>
  <c r="C934" i="1" l="1"/>
  <c r="D934" i="1" s="1"/>
  <c r="B935" i="1" s="1"/>
  <c r="C935" i="1" l="1"/>
  <c r="D935" i="1" s="1"/>
  <c r="B936" i="1" s="1"/>
  <c r="C936" i="1" l="1"/>
  <c r="D936" i="1" s="1"/>
  <c r="B937" i="1" s="1"/>
  <c r="C937" i="1" l="1"/>
  <c r="D937" i="1" s="1"/>
  <c r="B938" i="1" s="1"/>
  <c r="C938" i="1" l="1"/>
  <c r="D938" i="1" s="1"/>
  <c r="B939" i="1" s="1"/>
  <c r="C939" i="1" l="1"/>
  <c r="D939" i="1" s="1"/>
  <c r="B940" i="1" s="1"/>
  <c r="C940" i="1" l="1"/>
  <c r="D940" i="1" s="1"/>
  <c r="B941" i="1" s="1"/>
  <c r="C941" i="1" l="1"/>
  <c r="D941" i="1" s="1"/>
  <c r="B942" i="1" s="1"/>
  <c r="C942" i="1" l="1"/>
  <c r="D942" i="1" s="1"/>
  <c r="B943" i="1" s="1"/>
  <c r="C943" i="1" l="1"/>
  <c r="D943" i="1" s="1"/>
  <c r="B944" i="1" s="1"/>
  <c r="C944" i="1" l="1"/>
  <c r="D944" i="1" s="1"/>
  <c r="B945" i="1" s="1"/>
  <c r="C945" i="1" l="1"/>
  <c r="D945" i="1" s="1"/>
  <c r="B946" i="1" s="1"/>
  <c r="C946" i="1" l="1"/>
  <c r="D946" i="1" s="1"/>
  <c r="B947" i="1" s="1"/>
  <c r="C947" i="1" l="1"/>
  <c r="D947" i="1" s="1"/>
  <c r="B948" i="1" s="1"/>
  <c r="C948" i="1" l="1"/>
  <c r="D948" i="1" s="1"/>
  <c r="B949" i="1" s="1"/>
  <c r="C949" i="1" l="1"/>
  <c r="D949" i="1" s="1"/>
  <c r="B950" i="1" s="1"/>
  <c r="C950" i="1" l="1"/>
  <c r="D950" i="1" s="1"/>
  <c r="B951" i="1" s="1"/>
  <c r="C951" i="1" l="1"/>
  <c r="D951" i="1" s="1"/>
  <c r="B952" i="1" s="1"/>
  <c r="C952" i="1" l="1"/>
  <c r="D952" i="1" s="1"/>
  <c r="B953" i="1" s="1"/>
  <c r="C953" i="1" l="1"/>
  <c r="D953" i="1" s="1"/>
  <c r="B954" i="1" s="1"/>
  <c r="C954" i="1" l="1"/>
  <c r="D954" i="1" s="1"/>
  <c r="B955" i="1" s="1"/>
  <c r="C955" i="1" l="1"/>
  <c r="D955" i="1" s="1"/>
  <c r="B956" i="1" s="1"/>
  <c r="C956" i="1" l="1"/>
  <c r="D956" i="1" s="1"/>
  <c r="B957" i="1" s="1"/>
  <c r="C957" i="1" l="1"/>
  <c r="D957" i="1" s="1"/>
  <c r="B958" i="1" s="1"/>
  <c r="C958" i="1" l="1"/>
  <c r="D958" i="1" s="1"/>
  <c r="B959" i="1" s="1"/>
  <c r="C959" i="1" l="1"/>
  <c r="D959" i="1" s="1"/>
  <c r="B960" i="1" s="1"/>
  <c r="C960" i="1" l="1"/>
  <c r="D960" i="1" s="1"/>
  <c r="B961" i="1" s="1"/>
  <c r="C961" i="1" l="1"/>
  <c r="D961" i="1" s="1"/>
  <c r="B962" i="1" s="1"/>
  <c r="C962" i="1" l="1"/>
  <c r="D962" i="1" s="1"/>
  <c r="B963" i="1" s="1"/>
  <c r="C963" i="1" l="1"/>
  <c r="D963" i="1" s="1"/>
  <c r="B964" i="1" s="1"/>
  <c r="C964" i="1" l="1"/>
  <c r="D964" i="1" s="1"/>
  <c r="B965" i="1" s="1"/>
  <c r="C965" i="1" l="1"/>
  <c r="D965" i="1" s="1"/>
  <c r="B966" i="1" s="1"/>
  <c r="C966" i="1" l="1"/>
  <c r="D966" i="1" s="1"/>
  <c r="B967" i="1" s="1"/>
  <c r="C967" i="1" l="1"/>
  <c r="D967" i="1" s="1"/>
  <c r="B968" i="1" s="1"/>
  <c r="C968" i="1" l="1"/>
  <c r="D968" i="1" s="1"/>
  <c r="B969" i="1" s="1"/>
  <c r="C969" i="1" l="1"/>
  <c r="D969" i="1" s="1"/>
  <c r="B970" i="1" s="1"/>
  <c r="C970" i="1" l="1"/>
  <c r="D970" i="1" s="1"/>
  <c r="B971" i="1" s="1"/>
  <c r="C971" i="1" l="1"/>
  <c r="D971" i="1" s="1"/>
  <c r="B972" i="1" s="1"/>
  <c r="C972" i="1" l="1"/>
  <c r="D972" i="1" s="1"/>
  <c r="B973" i="1" s="1"/>
  <c r="C973" i="1" l="1"/>
  <c r="D973" i="1" s="1"/>
  <c r="B974" i="1" s="1"/>
  <c r="C974" i="1" l="1"/>
  <c r="D974" i="1" s="1"/>
  <c r="B975" i="1" s="1"/>
  <c r="C975" i="1" l="1"/>
  <c r="D975" i="1" s="1"/>
  <c r="B976" i="1" s="1"/>
  <c r="C976" i="1" l="1"/>
  <c r="D976" i="1" s="1"/>
  <c r="B977" i="1" s="1"/>
  <c r="C977" i="1" l="1"/>
  <c r="D977" i="1" s="1"/>
  <c r="B978" i="1" s="1"/>
  <c r="C978" i="1" l="1"/>
  <c r="D978" i="1" s="1"/>
  <c r="B979" i="1" s="1"/>
  <c r="C979" i="1" l="1"/>
  <c r="D979" i="1" s="1"/>
  <c r="B980" i="1" s="1"/>
  <c r="C980" i="1" l="1"/>
  <c r="D980" i="1" s="1"/>
  <c r="B981" i="1" s="1"/>
  <c r="C981" i="1" l="1"/>
  <c r="D981" i="1" s="1"/>
  <c r="B982" i="1" s="1"/>
  <c r="C982" i="1" l="1"/>
  <c r="D982" i="1" s="1"/>
  <c r="B983" i="1" s="1"/>
  <c r="C983" i="1" l="1"/>
  <c r="D983" i="1" s="1"/>
  <c r="B984" i="1" s="1"/>
  <c r="C984" i="1" l="1"/>
  <c r="D984" i="1" s="1"/>
  <c r="B985" i="1" s="1"/>
  <c r="C985" i="1" l="1"/>
  <c r="D985" i="1" s="1"/>
  <c r="B986" i="1" s="1"/>
  <c r="C986" i="1" l="1"/>
  <c r="D986" i="1" s="1"/>
  <c r="B987" i="1" s="1"/>
  <c r="C987" i="1" l="1"/>
  <c r="D987" i="1" s="1"/>
  <c r="B988" i="1" s="1"/>
  <c r="C988" i="1" l="1"/>
  <c r="D988" i="1" s="1"/>
  <c r="B989" i="1" s="1"/>
  <c r="C989" i="1" l="1"/>
  <c r="D989" i="1" s="1"/>
  <c r="B990" i="1" s="1"/>
  <c r="C990" i="1" l="1"/>
  <c r="D990" i="1" s="1"/>
  <c r="B991" i="1" s="1"/>
  <c r="C991" i="1" l="1"/>
  <c r="D991" i="1" s="1"/>
  <c r="B992" i="1" s="1"/>
  <c r="C992" i="1" l="1"/>
  <c r="D992" i="1" s="1"/>
  <c r="B993" i="1" s="1"/>
  <c r="C993" i="1" l="1"/>
  <c r="D993" i="1" s="1"/>
  <c r="B994" i="1" s="1"/>
  <c r="C994" i="1" l="1"/>
  <c r="D994" i="1" s="1"/>
  <c r="B995" i="1" s="1"/>
  <c r="C995" i="1" l="1"/>
  <c r="D995" i="1" s="1"/>
  <c r="B996" i="1" s="1"/>
  <c r="C996" i="1" l="1"/>
  <c r="D996" i="1" s="1"/>
  <c r="B997" i="1" s="1"/>
  <c r="C997" i="1" l="1"/>
  <c r="D997" i="1" s="1"/>
  <c r="B998" i="1" s="1"/>
  <c r="C998" i="1" l="1"/>
  <c r="D998" i="1" s="1"/>
  <c r="B999" i="1" s="1"/>
  <c r="C999" i="1" l="1"/>
  <c r="D999" i="1" s="1"/>
  <c r="B1000" i="1" s="1"/>
  <c r="C1000" i="1" l="1"/>
  <c r="D1000" i="1" s="1"/>
  <c r="B1001" i="1" s="1"/>
  <c r="C1001" i="1" l="1"/>
  <c r="D1001" i="1" s="1"/>
  <c r="B1002" i="1" s="1"/>
  <c r="C1002" i="1" l="1"/>
  <c r="D1002" i="1" s="1"/>
  <c r="B1003" i="1" s="1"/>
  <c r="C1003" i="1" l="1"/>
  <c r="D1003" i="1" s="1"/>
  <c r="B1004" i="1" s="1"/>
  <c r="C1004" i="1" l="1"/>
  <c r="D1004" i="1" s="1"/>
  <c r="B1005" i="1" s="1"/>
  <c r="C1005" i="1" l="1"/>
  <c r="D1005" i="1" s="1"/>
  <c r="B1006" i="1" s="1"/>
  <c r="C1006" i="1" l="1"/>
  <c r="D1006" i="1" s="1"/>
  <c r="B1007" i="1" s="1"/>
  <c r="C1007" i="1" l="1"/>
  <c r="D1007" i="1" s="1"/>
  <c r="B1008" i="1" s="1"/>
  <c r="C1008" i="1" l="1"/>
  <c r="D1008" i="1" s="1"/>
  <c r="B1009" i="1" s="1"/>
  <c r="C1009" i="1" l="1"/>
  <c r="D1009" i="1" s="1"/>
  <c r="B1010" i="1" s="1"/>
  <c r="C1010" i="1" l="1"/>
  <c r="D1010" i="1" s="1"/>
  <c r="B1011" i="1" s="1"/>
  <c r="C1011" i="1" l="1"/>
  <c r="D1011" i="1" s="1"/>
  <c r="B1012" i="1" s="1"/>
  <c r="C1012" i="1" l="1"/>
  <c r="D1012" i="1" s="1"/>
  <c r="B1013" i="1" s="1"/>
  <c r="C1013" i="1" l="1"/>
  <c r="D1013" i="1" s="1"/>
  <c r="B1014" i="1" s="1"/>
  <c r="C1014" i="1" l="1"/>
  <c r="D1014" i="1" s="1"/>
  <c r="B1015" i="1" s="1"/>
  <c r="C1015" i="1" l="1"/>
  <c r="D1015" i="1" s="1"/>
  <c r="B1016" i="1" s="1"/>
  <c r="C1016" i="1" l="1"/>
  <c r="D1016" i="1" s="1"/>
  <c r="B1017" i="1" s="1"/>
  <c r="C1017" i="1" l="1"/>
  <c r="D1017" i="1" s="1"/>
  <c r="B1018" i="1" s="1"/>
  <c r="C1018" i="1" l="1"/>
  <c r="D1018" i="1" s="1"/>
  <c r="B1019" i="1" s="1"/>
  <c r="C1019" i="1" l="1"/>
  <c r="D1019" i="1" s="1"/>
  <c r="B1020" i="1" s="1"/>
  <c r="C1020" i="1" l="1"/>
  <c r="D1020" i="1" s="1"/>
  <c r="B1021" i="1" s="1"/>
  <c r="C1021" i="1" l="1"/>
  <c r="D1021" i="1" s="1"/>
  <c r="B1022" i="1" s="1"/>
  <c r="C1022" i="1" l="1"/>
  <c r="D1022" i="1" s="1"/>
  <c r="B1023" i="1" s="1"/>
  <c r="C1023" i="1" l="1"/>
  <c r="D1023" i="1" s="1"/>
  <c r="B1024" i="1" s="1"/>
  <c r="C1024" i="1" l="1"/>
  <c r="D1024" i="1" s="1"/>
  <c r="B1025" i="1" s="1"/>
  <c r="C1025" i="1" l="1"/>
  <c r="D1025" i="1" s="1"/>
  <c r="B1026" i="1" s="1"/>
  <c r="C1026" i="1" l="1"/>
  <c r="D1026" i="1" s="1"/>
  <c r="B1027" i="1" s="1"/>
  <c r="C1027" i="1" l="1"/>
  <c r="D1027" i="1" s="1"/>
  <c r="B1028" i="1" s="1"/>
  <c r="C1028" i="1" l="1"/>
  <c r="D1028" i="1" s="1"/>
  <c r="B1029" i="1" s="1"/>
  <c r="C1029" i="1" l="1"/>
  <c r="D1029" i="1" s="1"/>
  <c r="B1030" i="1" s="1"/>
  <c r="C1030" i="1" l="1"/>
  <c r="D1030" i="1" s="1"/>
  <c r="B1031" i="1" s="1"/>
  <c r="C1031" i="1" l="1"/>
  <c r="D1031" i="1" s="1"/>
  <c r="B1032" i="1" s="1"/>
  <c r="C1032" i="1" l="1"/>
  <c r="D1032" i="1" s="1"/>
  <c r="B1033" i="1" s="1"/>
  <c r="C1033" i="1" l="1"/>
  <c r="D1033" i="1" s="1"/>
  <c r="B1034" i="1" s="1"/>
  <c r="C1034" i="1" l="1"/>
  <c r="D1034" i="1" s="1"/>
  <c r="B1035" i="1" s="1"/>
  <c r="C1035" i="1" l="1"/>
  <c r="D1035" i="1" s="1"/>
  <c r="B1036" i="1" s="1"/>
  <c r="C1036" i="1" l="1"/>
  <c r="D1036" i="1" s="1"/>
  <c r="B1037" i="1" s="1"/>
  <c r="C1037" i="1" l="1"/>
  <c r="D1037" i="1" s="1"/>
  <c r="B1038" i="1" s="1"/>
  <c r="C1038" i="1" l="1"/>
  <c r="D1038" i="1" s="1"/>
  <c r="B1039" i="1" s="1"/>
  <c r="C1039" i="1" l="1"/>
  <c r="D1039" i="1" s="1"/>
  <c r="B1040" i="1" s="1"/>
  <c r="C1040" i="1" l="1"/>
  <c r="D1040" i="1" s="1"/>
  <c r="B1041" i="1" s="1"/>
  <c r="C1041" i="1" l="1"/>
  <c r="D1041" i="1" s="1"/>
  <c r="B1042" i="1" s="1"/>
  <c r="C1042" i="1" l="1"/>
  <c r="D1042" i="1" s="1"/>
  <c r="B1043" i="1" s="1"/>
  <c r="C1043" i="1" l="1"/>
  <c r="D1043" i="1" s="1"/>
  <c r="B1044" i="1" s="1"/>
  <c r="C1044" i="1" l="1"/>
  <c r="D1044" i="1" s="1"/>
  <c r="B1045" i="1" s="1"/>
  <c r="C1045" i="1" l="1"/>
  <c r="D1045" i="1" s="1"/>
  <c r="B1046" i="1" s="1"/>
  <c r="C1046" i="1" l="1"/>
  <c r="D1046" i="1" s="1"/>
  <c r="B1047" i="1" s="1"/>
  <c r="C1047" i="1" l="1"/>
  <c r="D1047" i="1" s="1"/>
  <c r="B1048" i="1" s="1"/>
  <c r="C1048" i="1" l="1"/>
  <c r="D1048" i="1" s="1"/>
  <c r="B1049" i="1" s="1"/>
  <c r="C1049" i="1" l="1"/>
  <c r="D1049" i="1" s="1"/>
  <c r="B1050" i="1" s="1"/>
  <c r="C1050" i="1" l="1"/>
  <c r="D1050" i="1" s="1"/>
  <c r="B1051" i="1" s="1"/>
  <c r="C1051" i="1" l="1"/>
  <c r="D1051" i="1" s="1"/>
  <c r="B1052" i="1" s="1"/>
  <c r="C1052" i="1" l="1"/>
  <c r="D1052" i="1" s="1"/>
  <c r="B1053" i="1" s="1"/>
  <c r="C1053" i="1" l="1"/>
  <c r="D1053" i="1" s="1"/>
  <c r="B1054" i="1" s="1"/>
  <c r="C1054" i="1" l="1"/>
  <c r="D1054" i="1" s="1"/>
  <c r="B1055" i="1" s="1"/>
  <c r="C1055" i="1" l="1"/>
  <c r="D1055" i="1" s="1"/>
  <c r="B1056" i="1" s="1"/>
  <c r="C1056" i="1" l="1"/>
  <c r="D1056" i="1" s="1"/>
  <c r="B1057" i="1" s="1"/>
  <c r="C1057" i="1" l="1"/>
  <c r="D1057" i="1" s="1"/>
  <c r="B1058" i="1" s="1"/>
  <c r="C1058" i="1" l="1"/>
  <c r="D1058" i="1" s="1"/>
  <c r="B1059" i="1" s="1"/>
  <c r="C1059" i="1" l="1"/>
  <c r="D1059" i="1" s="1"/>
  <c r="B1060" i="1" s="1"/>
  <c r="C1060" i="1" l="1"/>
  <c r="D1060" i="1" s="1"/>
  <c r="B1061" i="1" s="1"/>
  <c r="C1061" i="1" l="1"/>
  <c r="D1061" i="1" s="1"/>
  <c r="B1062" i="1" s="1"/>
  <c r="C1062" i="1" l="1"/>
  <c r="D1062" i="1" s="1"/>
  <c r="B1063" i="1" s="1"/>
  <c r="C1063" i="1" l="1"/>
  <c r="D1063" i="1" s="1"/>
  <c r="B1064" i="1" s="1"/>
  <c r="C1064" i="1" l="1"/>
  <c r="D1064" i="1" s="1"/>
  <c r="B1065" i="1" s="1"/>
  <c r="C1065" i="1" l="1"/>
  <c r="D1065" i="1" s="1"/>
  <c r="B1066" i="1" s="1"/>
  <c r="C1066" i="1" l="1"/>
  <c r="D1066" i="1" s="1"/>
  <c r="B1067" i="1" s="1"/>
  <c r="C1067" i="1" l="1"/>
  <c r="D1067" i="1" s="1"/>
  <c r="B1068" i="1" s="1"/>
  <c r="C1068" i="1" l="1"/>
  <c r="D1068" i="1" s="1"/>
  <c r="B1069" i="1" s="1"/>
  <c r="C1069" i="1" l="1"/>
  <c r="D1069" i="1" s="1"/>
  <c r="B1070" i="1" s="1"/>
  <c r="C1070" i="1" l="1"/>
  <c r="D1070" i="1" s="1"/>
  <c r="B1071" i="1" s="1"/>
  <c r="C1071" i="1" l="1"/>
  <c r="D1071" i="1" s="1"/>
  <c r="B1072" i="1" s="1"/>
  <c r="C1072" i="1" l="1"/>
  <c r="D1072" i="1" s="1"/>
  <c r="B1073" i="1" s="1"/>
  <c r="C1073" i="1" l="1"/>
  <c r="D1073" i="1" s="1"/>
  <c r="B1074" i="1" s="1"/>
  <c r="C1074" i="1" l="1"/>
  <c r="D1074" i="1" s="1"/>
  <c r="B1075" i="1" s="1"/>
  <c r="C1075" i="1" l="1"/>
  <c r="D1075" i="1" s="1"/>
  <c r="B1076" i="1" s="1"/>
  <c r="C1076" i="1" l="1"/>
  <c r="D1076" i="1" s="1"/>
  <c r="B1077" i="1" s="1"/>
  <c r="C1077" i="1" l="1"/>
  <c r="D1077" i="1" s="1"/>
  <c r="B1078" i="1" s="1"/>
  <c r="C1078" i="1" l="1"/>
  <c r="D1078" i="1" s="1"/>
  <c r="B1079" i="1" s="1"/>
  <c r="C1079" i="1" l="1"/>
  <c r="D1079" i="1" s="1"/>
  <c r="B1080" i="1" s="1"/>
  <c r="C1080" i="1" l="1"/>
  <c r="D1080" i="1" s="1"/>
  <c r="B1081" i="1" s="1"/>
  <c r="C1081" i="1" l="1"/>
  <c r="D1081" i="1" s="1"/>
  <c r="B1082" i="1" s="1"/>
  <c r="C1082" i="1" l="1"/>
  <c r="D1082" i="1" s="1"/>
  <c r="B1083" i="1" s="1"/>
  <c r="C1083" i="1" l="1"/>
  <c r="D1083" i="1" s="1"/>
  <c r="B1084" i="1" s="1"/>
  <c r="C1084" i="1" l="1"/>
  <c r="D1084" i="1" s="1"/>
  <c r="B1085" i="1" s="1"/>
  <c r="C1085" i="1" l="1"/>
  <c r="D1085" i="1" s="1"/>
  <c r="B1086" i="1" s="1"/>
  <c r="C1086" i="1" l="1"/>
  <c r="D1086" i="1" s="1"/>
  <c r="B1087" i="1" s="1"/>
  <c r="C1087" i="1" l="1"/>
  <c r="D1087" i="1" s="1"/>
  <c r="B1088" i="1" s="1"/>
  <c r="C1088" i="1" l="1"/>
  <c r="D1088" i="1" s="1"/>
  <c r="B1089" i="1" s="1"/>
  <c r="C1089" i="1" l="1"/>
  <c r="D1089" i="1" s="1"/>
  <c r="B1090" i="1" s="1"/>
  <c r="C1090" i="1" l="1"/>
  <c r="D1090" i="1" s="1"/>
  <c r="B1091" i="1" s="1"/>
  <c r="C1091" i="1" l="1"/>
  <c r="D1091" i="1" s="1"/>
  <c r="B1092" i="1" s="1"/>
  <c r="C1092" i="1" l="1"/>
  <c r="D1092" i="1" s="1"/>
  <c r="B1093" i="1" s="1"/>
  <c r="C1093" i="1" l="1"/>
  <c r="D1093" i="1" s="1"/>
  <c r="B1094" i="1" s="1"/>
  <c r="C1094" i="1" l="1"/>
  <c r="D1094" i="1" s="1"/>
  <c r="B1095" i="1" s="1"/>
  <c r="C1095" i="1" l="1"/>
  <c r="D1095" i="1" s="1"/>
  <c r="B1096" i="1" s="1"/>
  <c r="C1096" i="1" l="1"/>
  <c r="D1096" i="1" s="1"/>
  <c r="B1097" i="1" s="1"/>
  <c r="C1097" i="1" l="1"/>
  <c r="D1097" i="1" s="1"/>
  <c r="B1098" i="1" s="1"/>
  <c r="C1098" i="1" l="1"/>
  <c r="D1098" i="1" s="1"/>
  <c r="B1099" i="1" s="1"/>
  <c r="C1099" i="1" l="1"/>
  <c r="D1099" i="1" s="1"/>
  <c r="B1100" i="1" s="1"/>
  <c r="C1100" i="1" l="1"/>
  <c r="D1100" i="1" s="1"/>
  <c r="B1101" i="1" s="1"/>
  <c r="C1101" i="1" l="1"/>
  <c r="D1101" i="1" s="1"/>
  <c r="B1102" i="1" s="1"/>
  <c r="C1102" i="1" l="1"/>
  <c r="D1102" i="1" s="1"/>
  <c r="B1103" i="1" s="1"/>
  <c r="C1103" i="1" l="1"/>
  <c r="D1103" i="1" s="1"/>
  <c r="B1104" i="1" s="1"/>
  <c r="C1104" i="1" l="1"/>
  <c r="D1104" i="1" s="1"/>
  <c r="B1105" i="1" s="1"/>
  <c r="C1105" i="1" l="1"/>
  <c r="D1105" i="1" s="1"/>
  <c r="B1106" i="1" s="1"/>
  <c r="C1106" i="1" l="1"/>
  <c r="D1106" i="1" s="1"/>
  <c r="B1107" i="1" s="1"/>
  <c r="C1107" i="1" l="1"/>
  <c r="D1107" i="1" s="1"/>
  <c r="B1108" i="1" s="1"/>
  <c r="C1108" i="1" l="1"/>
  <c r="D1108" i="1" s="1"/>
  <c r="B1109" i="1" s="1"/>
  <c r="C1109" i="1" l="1"/>
  <c r="D1109" i="1" s="1"/>
  <c r="B1110" i="1" s="1"/>
  <c r="C1110" i="1" l="1"/>
  <c r="D1110" i="1" s="1"/>
  <c r="B1111" i="1" s="1"/>
  <c r="C1111" i="1" l="1"/>
  <c r="D1111" i="1" s="1"/>
  <c r="B1112" i="1" s="1"/>
  <c r="C1112" i="1" l="1"/>
  <c r="D1112" i="1" s="1"/>
  <c r="B1113" i="1" s="1"/>
  <c r="C1113" i="1" l="1"/>
  <c r="D1113" i="1" s="1"/>
  <c r="B1114" i="1" s="1"/>
  <c r="C1114" i="1" l="1"/>
  <c r="D1114" i="1" s="1"/>
  <c r="B1115" i="1" s="1"/>
  <c r="C1115" i="1" l="1"/>
  <c r="D1115" i="1" s="1"/>
  <c r="B1116" i="1" s="1"/>
  <c r="C1116" i="1" l="1"/>
  <c r="D1116" i="1" s="1"/>
  <c r="B1117" i="1" s="1"/>
  <c r="C1117" i="1" l="1"/>
  <c r="D1117" i="1" s="1"/>
  <c r="B1118" i="1" s="1"/>
  <c r="C1118" i="1" l="1"/>
  <c r="D1118" i="1" s="1"/>
  <c r="B1119" i="1" s="1"/>
  <c r="C1119" i="1" l="1"/>
  <c r="D1119" i="1" s="1"/>
  <c r="B1120" i="1" s="1"/>
  <c r="C1120" i="1" l="1"/>
  <c r="D1120" i="1" s="1"/>
  <c r="B1121" i="1" s="1"/>
  <c r="C1121" i="1" l="1"/>
  <c r="D1121" i="1" s="1"/>
  <c r="B1122" i="1" s="1"/>
  <c r="C1122" i="1" l="1"/>
  <c r="D1122" i="1" s="1"/>
  <c r="B1123" i="1" s="1"/>
  <c r="C1123" i="1" l="1"/>
  <c r="D1123" i="1" s="1"/>
  <c r="B1124" i="1" s="1"/>
  <c r="C1124" i="1" l="1"/>
  <c r="D1124" i="1" s="1"/>
  <c r="B1125" i="1" s="1"/>
  <c r="C1125" i="1" l="1"/>
  <c r="D1125" i="1" s="1"/>
  <c r="B1126" i="1" s="1"/>
  <c r="C1126" i="1" l="1"/>
  <c r="D1126" i="1" s="1"/>
  <c r="B1127" i="1" s="1"/>
  <c r="C1127" i="1" l="1"/>
  <c r="D1127" i="1" s="1"/>
  <c r="B1128" i="1" s="1"/>
  <c r="C1128" i="1" l="1"/>
  <c r="D1128" i="1" s="1"/>
  <c r="B1129" i="1" s="1"/>
  <c r="C1129" i="1" l="1"/>
  <c r="D1129" i="1" s="1"/>
  <c r="B1130" i="1" s="1"/>
  <c r="C1130" i="1" l="1"/>
  <c r="D1130" i="1" s="1"/>
  <c r="B1131" i="1" s="1"/>
  <c r="C1131" i="1" l="1"/>
  <c r="D1131" i="1" s="1"/>
  <c r="B1132" i="1" s="1"/>
  <c r="C1132" i="1" l="1"/>
  <c r="D1132" i="1" s="1"/>
  <c r="B1133" i="1" s="1"/>
  <c r="C1133" i="1" l="1"/>
  <c r="D1133" i="1" s="1"/>
  <c r="B1134" i="1" s="1"/>
  <c r="C1134" i="1" l="1"/>
  <c r="D1134" i="1" s="1"/>
  <c r="B1135" i="1" s="1"/>
  <c r="C1135" i="1" l="1"/>
  <c r="D1135" i="1" s="1"/>
  <c r="B1136" i="1" s="1"/>
  <c r="C1136" i="1" l="1"/>
  <c r="D1136" i="1" s="1"/>
  <c r="B1137" i="1" s="1"/>
  <c r="C1137" i="1" l="1"/>
  <c r="D1137" i="1" s="1"/>
  <c r="B1138" i="1" s="1"/>
  <c r="C1138" i="1" l="1"/>
  <c r="D1138" i="1" s="1"/>
  <c r="B1139" i="1" s="1"/>
  <c r="C1139" i="1" l="1"/>
  <c r="D1139" i="1" s="1"/>
  <c r="B1140" i="1" s="1"/>
  <c r="C1140" i="1" l="1"/>
  <c r="D1140" i="1" s="1"/>
  <c r="B1141" i="1" s="1"/>
  <c r="C1141" i="1" l="1"/>
  <c r="D1141" i="1" s="1"/>
  <c r="B1142" i="1" s="1"/>
  <c r="C1142" i="1" l="1"/>
  <c r="D1142" i="1" s="1"/>
  <c r="B1143" i="1" s="1"/>
  <c r="C1143" i="1" l="1"/>
  <c r="D1143" i="1" s="1"/>
  <c r="B1144" i="1" s="1"/>
  <c r="C1144" i="1" l="1"/>
  <c r="D1144" i="1" s="1"/>
  <c r="B1145" i="1" s="1"/>
  <c r="C1145" i="1" l="1"/>
  <c r="D1145" i="1" s="1"/>
  <c r="B1146" i="1" s="1"/>
  <c r="C1146" i="1" l="1"/>
  <c r="D1146" i="1" s="1"/>
  <c r="B1147" i="1" s="1"/>
  <c r="C1147" i="1" l="1"/>
  <c r="D1147" i="1" s="1"/>
  <c r="B1148" i="1" s="1"/>
  <c r="C1148" i="1" l="1"/>
  <c r="D1148" i="1" s="1"/>
  <c r="B1149" i="1" s="1"/>
  <c r="C1149" i="1" l="1"/>
  <c r="D1149" i="1" s="1"/>
  <c r="B1150" i="1" s="1"/>
  <c r="C1150" i="1" l="1"/>
  <c r="D1150" i="1" s="1"/>
  <c r="B1151" i="1" s="1"/>
  <c r="C1151" i="1" l="1"/>
  <c r="D1151" i="1" s="1"/>
  <c r="B1152" i="1" s="1"/>
  <c r="C1152" i="1" l="1"/>
  <c r="D1152" i="1" s="1"/>
  <c r="B1153" i="1" s="1"/>
  <c r="C1153" i="1" l="1"/>
  <c r="D1153" i="1" s="1"/>
  <c r="B1154" i="1" s="1"/>
  <c r="C1154" i="1" l="1"/>
  <c r="D1154" i="1" s="1"/>
  <c r="B1155" i="1" s="1"/>
  <c r="C1155" i="1" l="1"/>
  <c r="D1155" i="1" s="1"/>
  <c r="B1156" i="1" s="1"/>
  <c r="C1156" i="1" l="1"/>
  <c r="D1156" i="1" s="1"/>
  <c r="B1157" i="1" s="1"/>
  <c r="C1157" i="1" l="1"/>
  <c r="D1157" i="1" s="1"/>
  <c r="B1158" i="1" s="1"/>
  <c r="C1158" i="1" l="1"/>
  <c r="D1158" i="1" s="1"/>
  <c r="B1159" i="1" s="1"/>
  <c r="C1159" i="1" l="1"/>
  <c r="D1159" i="1" s="1"/>
  <c r="B1160" i="1" s="1"/>
  <c r="C1160" i="1" l="1"/>
  <c r="D1160" i="1" s="1"/>
  <c r="B1161" i="1" s="1"/>
  <c r="C1161" i="1" l="1"/>
  <c r="D1161" i="1" s="1"/>
  <c r="B1162" i="1" s="1"/>
  <c r="C1162" i="1" l="1"/>
  <c r="D1162" i="1" s="1"/>
  <c r="B1163" i="1" s="1"/>
  <c r="C1163" i="1" l="1"/>
  <c r="D1163" i="1" s="1"/>
  <c r="B1164" i="1" s="1"/>
  <c r="C1164" i="1" l="1"/>
  <c r="D1164" i="1" s="1"/>
  <c r="B1165" i="1" s="1"/>
  <c r="C1165" i="1" l="1"/>
  <c r="D1165" i="1" s="1"/>
  <c r="B1166" i="1" s="1"/>
  <c r="C1166" i="1" l="1"/>
  <c r="D1166" i="1" s="1"/>
  <c r="B1167" i="1" s="1"/>
  <c r="C1167" i="1" l="1"/>
  <c r="D1167" i="1" s="1"/>
  <c r="B1168" i="1" s="1"/>
  <c r="C1168" i="1" l="1"/>
  <c r="D1168" i="1" s="1"/>
  <c r="B1169" i="1" s="1"/>
  <c r="C1169" i="1" l="1"/>
  <c r="D1169" i="1" s="1"/>
  <c r="B1170" i="1" s="1"/>
  <c r="C1170" i="1" l="1"/>
  <c r="D1170" i="1" s="1"/>
  <c r="B1171" i="1" s="1"/>
  <c r="C1171" i="1" l="1"/>
  <c r="D1171" i="1" s="1"/>
  <c r="B1172" i="1" s="1"/>
  <c r="C1172" i="1" l="1"/>
  <c r="D1172" i="1" s="1"/>
  <c r="B1173" i="1" s="1"/>
  <c r="C1173" i="1" l="1"/>
  <c r="D1173" i="1" s="1"/>
  <c r="B1174" i="1" s="1"/>
  <c r="C1174" i="1" l="1"/>
  <c r="D1174" i="1" s="1"/>
  <c r="B1175" i="1" s="1"/>
  <c r="C1175" i="1" l="1"/>
  <c r="D1175" i="1" s="1"/>
  <c r="B1176" i="1" s="1"/>
  <c r="C1176" i="1" l="1"/>
  <c r="D1176" i="1" s="1"/>
  <c r="B1177" i="1" s="1"/>
  <c r="C1177" i="1" l="1"/>
  <c r="D1177" i="1" s="1"/>
  <c r="B1178" i="1" s="1"/>
  <c r="C1178" i="1" l="1"/>
  <c r="D1178" i="1" s="1"/>
  <c r="B1179" i="1" s="1"/>
  <c r="C1179" i="1" l="1"/>
  <c r="D1179" i="1" s="1"/>
  <c r="B1180" i="1" s="1"/>
  <c r="C1180" i="1" l="1"/>
  <c r="D1180" i="1" s="1"/>
  <c r="B1181" i="1" s="1"/>
  <c r="C1181" i="1" l="1"/>
  <c r="D1181" i="1" s="1"/>
  <c r="B1182" i="1" s="1"/>
  <c r="C1182" i="1" l="1"/>
  <c r="D1182" i="1" s="1"/>
  <c r="B1183" i="1" s="1"/>
  <c r="C1183" i="1" l="1"/>
  <c r="D1183" i="1" s="1"/>
  <c r="B1184" i="1" s="1"/>
  <c r="C1184" i="1" l="1"/>
  <c r="D1184" i="1" s="1"/>
  <c r="B1185" i="1" s="1"/>
  <c r="C1185" i="1" l="1"/>
  <c r="D1185" i="1" s="1"/>
  <c r="B1186" i="1" s="1"/>
  <c r="C1186" i="1" l="1"/>
  <c r="D1186" i="1" s="1"/>
  <c r="B1187" i="1" s="1"/>
  <c r="C1187" i="1" l="1"/>
  <c r="D1187" i="1" s="1"/>
  <c r="B1188" i="1" s="1"/>
  <c r="C1188" i="1" l="1"/>
  <c r="D1188" i="1" s="1"/>
  <c r="B1189" i="1" s="1"/>
  <c r="C1189" i="1" l="1"/>
  <c r="D1189" i="1" s="1"/>
  <c r="B1190" i="1" s="1"/>
  <c r="C1190" i="1" l="1"/>
  <c r="D1190" i="1" s="1"/>
  <c r="B1191" i="1" s="1"/>
  <c r="C1191" i="1" l="1"/>
  <c r="D1191" i="1" s="1"/>
  <c r="B1192" i="1" s="1"/>
  <c r="C1192" i="1" l="1"/>
  <c r="D1192" i="1" s="1"/>
  <c r="B1193" i="1" s="1"/>
  <c r="C1193" i="1" l="1"/>
  <c r="D1193" i="1" s="1"/>
  <c r="B1194" i="1" s="1"/>
  <c r="C1194" i="1" l="1"/>
  <c r="D1194" i="1" s="1"/>
  <c r="B1195" i="1" s="1"/>
  <c r="C1195" i="1" l="1"/>
  <c r="D1195" i="1" s="1"/>
  <c r="B1196" i="1" s="1"/>
  <c r="C1196" i="1" l="1"/>
  <c r="D1196" i="1" s="1"/>
  <c r="B1197" i="1" s="1"/>
  <c r="C1197" i="1" l="1"/>
  <c r="D1197" i="1" s="1"/>
  <c r="B1198" i="1" s="1"/>
  <c r="C1198" i="1" l="1"/>
  <c r="D1198" i="1" s="1"/>
  <c r="B1199" i="1" s="1"/>
  <c r="C1199" i="1" l="1"/>
  <c r="D1199" i="1" s="1"/>
  <c r="B1200" i="1" s="1"/>
  <c r="C1200" i="1" l="1"/>
  <c r="D1200" i="1" s="1"/>
  <c r="B1201" i="1" s="1"/>
  <c r="C1201" i="1" l="1"/>
  <c r="D1201" i="1" s="1"/>
  <c r="B1202" i="1" s="1"/>
  <c r="C1202" i="1" l="1"/>
  <c r="D1202" i="1" s="1"/>
  <c r="B1203" i="1" s="1"/>
  <c r="C1203" i="1" l="1"/>
  <c r="D1203" i="1" s="1"/>
  <c r="B1204" i="1" s="1"/>
  <c r="C1204" i="1" s="1"/>
  <c r="D1204" i="1" s="1"/>
</calcChain>
</file>

<file path=xl/sharedStrings.xml><?xml version="1.0" encoding="utf-8"?>
<sst xmlns="http://schemas.openxmlformats.org/spreadsheetml/2006/main" count="2552" uniqueCount="1257">
  <si>
    <t>entradas/dia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</si>
  <si>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</si>
  <si>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</si>
  <si>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</si>
  <si>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</si>
  <si>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</si>
  <si>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</si>
  <si>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</si>
  <si>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</si>
  <si>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</si>
  <si>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</si>
  <si>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</si>
  <si>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</si>
  <si>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</si>
  <si>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</si>
  <si>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</si>
  <si>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</si>
  <si>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</si>
  <si>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</si>
  <si>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</si>
  <si>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</si>
  <si>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</si>
  <si>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dia 22</t>
  </si>
  <si>
    <t>dia 23</t>
  </si>
  <si>
    <t>dia 24</t>
  </si>
  <si>
    <t>dia 25</t>
  </si>
  <si>
    <t>dia 26</t>
  </si>
  <si>
    <t>dia 27</t>
  </si>
  <si>
    <t>dia 28</t>
  </si>
  <si>
    <t>dia 29</t>
  </si>
  <si>
    <t>dia 30</t>
  </si>
  <si>
    <t>dia 31</t>
  </si>
  <si>
    <t>dia 32</t>
  </si>
  <si>
    <t>dia 33</t>
  </si>
  <si>
    <t>dia 34</t>
  </si>
  <si>
    <t>dia 35</t>
  </si>
  <si>
    <t>dia 36</t>
  </si>
  <si>
    <t>dia 37</t>
  </si>
  <si>
    <t>dia 38</t>
  </si>
  <si>
    <t>dia 39</t>
  </si>
  <si>
    <t>dia 40</t>
  </si>
  <si>
    <t>dia 41</t>
  </si>
  <si>
    <t>dia 42</t>
  </si>
  <si>
    <t>dia 43</t>
  </si>
  <si>
    <t>dia 44</t>
  </si>
  <si>
    <t>dia 45</t>
  </si>
  <si>
    <t>dia 46</t>
  </si>
  <si>
    <t>dia 47</t>
  </si>
  <si>
    <t>dia 48</t>
  </si>
  <si>
    <t>dia 49</t>
  </si>
  <si>
    <t>dia 50</t>
  </si>
  <si>
    <t>dia 51</t>
  </si>
  <si>
    <t>dia 52</t>
  </si>
  <si>
    <t>dia 53</t>
  </si>
  <si>
    <t>dia 54</t>
  </si>
  <si>
    <t>dia 55</t>
  </si>
  <si>
    <t>dia 56</t>
  </si>
  <si>
    <t>dia 57</t>
  </si>
  <si>
    <t>dia 58</t>
  </si>
  <si>
    <t>dia 59</t>
  </si>
  <si>
    <t>dia 60</t>
  </si>
  <si>
    <t>dia 61</t>
  </si>
  <si>
    <t>dia 62</t>
  </si>
  <si>
    <t>dia 63</t>
  </si>
  <si>
    <t>dia 64</t>
  </si>
  <si>
    <t>dia 65</t>
  </si>
  <si>
    <t>dia 66</t>
  </si>
  <si>
    <t>dia 67</t>
  </si>
  <si>
    <t>dia 68</t>
  </si>
  <si>
    <t>dia 69</t>
  </si>
  <si>
    <t>dia 70</t>
  </si>
  <si>
    <t>dia 71</t>
  </si>
  <si>
    <t>dia 72</t>
  </si>
  <si>
    <t>dia 73</t>
  </si>
  <si>
    <t>dia 74</t>
  </si>
  <si>
    <t>dia 75</t>
  </si>
  <si>
    <t>dia 76</t>
  </si>
  <si>
    <t>dia 77</t>
  </si>
  <si>
    <t>dia 78</t>
  </si>
  <si>
    <t>dia 79</t>
  </si>
  <si>
    <t>dia 80</t>
  </si>
  <si>
    <t>dia 81</t>
  </si>
  <si>
    <t>dia 82</t>
  </si>
  <si>
    <t>dia 83</t>
  </si>
  <si>
    <t>dia 84</t>
  </si>
  <si>
    <t>dia 85</t>
  </si>
  <si>
    <t>dia 86</t>
  </si>
  <si>
    <t>dia 87</t>
  </si>
  <si>
    <t>dia 88</t>
  </si>
  <si>
    <t>dia 89</t>
  </si>
  <si>
    <t>dia 90</t>
  </si>
  <si>
    <t>dia 91</t>
  </si>
  <si>
    <t>dia 92</t>
  </si>
  <si>
    <t>dia 93</t>
  </si>
  <si>
    <t>dia 94</t>
  </si>
  <si>
    <t>dia 95</t>
  </si>
  <si>
    <t>dia 96</t>
  </si>
  <si>
    <t>dia 97</t>
  </si>
  <si>
    <t>dia 98</t>
  </si>
  <si>
    <t>dia 99</t>
  </si>
  <si>
    <t>dia 100</t>
  </si>
  <si>
    <t>dia 101</t>
  </si>
  <si>
    <t>dia 102</t>
  </si>
  <si>
    <t>dia 103</t>
  </si>
  <si>
    <t>dia 104</t>
  </si>
  <si>
    <t>dia 105</t>
  </si>
  <si>
    <t>dia 106</t>
  </si>
  <si>
    <t>dia 107</t>
  </si>
  <si>
    <t>dia 108</t>
  </si>
  <si>
    <t>dia 109</t>
  </si>
  <si>
    <t>dia 110</t>
  </si>
  <si>
    <t>dia 111</t>
  </si>
  <si>
    <t>dia 112</t>
  </si>
  <si>
    <t>dia 113</t>
  </si>
  <si>
    <t>dia 114</t>
  </si>
  <si>
    <t>dia 115</t>
  </si>
  <si>
    <t>dia 116</t>
  </si>
  <si>
    <t>dia 117</t>
  </si>
  <si>
    <t>dia 118</t>
  </si>
  <si>
    <t>dia 119</t>
  </si>
  <si>
    <t>dia 120</t>
  </si>
  <si>
    <t>dia 121</t>
  </si>
  <si>
    <t>dia 122</t>
  </si>
  <si>
    <t>dia 123</t>
  </si>
  <si>
    <t>dia 124</t>
  </si>
  <si>
    <t>dia 125</t>
  </si>
  <si>
    <t>dia 126</t>
  </si>
  <si>
    <t>dia 127</t>
  </si>
  <si>
    <t>dia 128</t>
  </si>
  <si>
    <t>dia 129</t>
  </si>
  <si>
    <t>dia 130</t>
  </si>
  <si>
    <t>dia 131</t>
  </si>
  <si>
    <t>dia 132</t>
  </si>
  <si>
    <t>dia 133</t>
  </si>
  <si>
    <t>dia 134</t>
  </si>
  <si>
    <t>dia 135</t>
  </si>
  <si>
    <t>dia 136</t>
  </si>
  <si>
    <t>dia 137</t>
  </si>
  <si>
    <t>dia 138</t>
  </si>
  <si>
    <t>dia 139</t>
  </si>
  <si>
    <t>dia 140</t>
  </si>
  <si>
    <t>dia 141</t>
  </si>
  <si>
    <t>dia 142</t>
  </si>
  <si>
    <t>dia 143</t>
  </si>
  <si>
    <t>dia 144</t>
  </si>
  <si>
    <t>dia 145</t>
  </si>
  <si>
    <t>dia 146</t>
  </si>
  <si>
    <t>dia 147</t>
  </si>
  <si>
    <t>dia 148</t>
  </si>
  <si>
    <t>dia 149</t>
  </si>
  <si>
    <t>dia 150</t>
  </si>
  <si>
    <t>dia 151</t>
  </si>
  <si>
    <t>dia 152</t>
  </si>
  <si>
    <t>dia 153</t>
  </si>
  <si>
    <t>dia 154</t>
  </si>
  <si>
    <t>dia 155</t>
  </si>
  <si>
    <t>dia 156</t>
  </si>
  <si>
    <t>dia 157</t>
  </si>
  <si>
    <t>dia 158</t>
  </si>
  <si>
    <t>dia 159</t>
  </si>
  <si>
    <t>dia 160</t>
  </si>
  <si>
    <t>dia 161</t>
  </si>
  <si>
    <t>dia 162</t>
  </si>
  <si>
    <t>dia 163</t>
  </si>
  <si>
    <t>dia 164</t>
  </si>
  <si>
    <t>dia 165</t>
  </si>
  <si>
    <t>dia 166</t>
  </si>
  <si>
    <t>dia 167</t>
  </si>
  <si>
    <t>dia 168</t>
  </si>
  <si>
    <t>dia 169</t>
  </si>
  <si>
    <t>dia 170</t>
  </si>
  <si>
    <t>dia 171</t>
  </si>
  <si>
    <t>dia 172</t>
  </si>
  <si>
    <t>dia 173</t>
  </si>
  <si>
    <t>dia 174</t>
  </si>
  <si>
    <t>dia 175</t>
  </si>
  <si>
    <t>dia 176</t>
  </si>
  <si>
    <t>dia 177</t>
  </si>
  <si>
    <t>dia 178</t>
  </si>
  <si>
    <t>dia 179</t>
  </si>
  <si>
    <t>dia 180</t>
  </si>
  <si>
    <t>dia 181</t>
  </si>
  <si>
    <t>dia 182</t>
  </si>
  <si>
    <t>dia 183</t>
  </si>
  <si>
    <t>dia 184</t>
  </si>
  <si>
    <t>dia 185</t>
  </si>
  <si>
    <t>dia 186</t>
  </si>
  <si>
    <t>dia 187</t>
  </si>
  <si>
    <t>dia 188</t>
  </si>
  <si>
    <t>dia 189</t>
  </si>
  <si>
    <t>dia 190</t>
  </si>
  <si>
    <t>dia 191</t>
  </si>
  <si>
    <t>dia 192</t>
  </si>
  <si>
    <t>dia 193</t>
  </si>
  <si>
    <t>dia 194</t>
  </si>
  <si>
    <t>dia 195</t>
  </si>
  <si>
    <t>dia 196</t>
  </si>
  <si>
    <t>dia 197</t>
  </si>
  <si>
    <t>dia 198</t>
  </si>
  <si>
    <t>dia 199</t>
  </si>
  <si>
    <t>dia 200</t>
  </si>
  <si>
    <t>dia 201</t>
  </si>
  <si>
    <t>dia 202</t>
  </si>
  <si>
    <t>dia 203</t>
  </si>
  <si>
    <t>dia 204</t>
  </si>
  <si>
    <t>dia 205</t>
  </si>
  <si>
    <t>dia 206</t>
  </si>
  <si>
    <t>dia 207</t>
  </si>
  <si>
    <t>dia 208</t>
  </si>
  <si>
    <t>dia 209</t>
  </si>
  <si>
    <t>dia 210</t>
  </si>
  <si>
    <t>dia 211</t>
  </si>
  <si>
    <t>dia 212</t>
  </si>
  <si>
    <t>dia 213</t>
  </si>
  <si>
    <t>dia 214</t>
  </si>
  <si>
    <t>dia 215</t>
  </si>
  <si>
    <t>dia 216</t>
  </si>
  <si>
    <t>dia 217</t>
  </si>
  <si>
    <t>dia 218</t>
  </si>
  <si>
    <t>dia 219</t>
  </si>
  <si>
    <t>dia 220</t>
  </si>
  <si>
    <t>dia 221</t>
  </si>
  <si>
    <t>dia 222</t>
  </si>
  <si>
    <t>dia 223</t>
  </si>
  <si>
    <t>dia 224</t>
  </si>
  <si>
    <t>dia 225</t>
  </si>
  <si>
    <t>dia 226</t>
  </si>
  <si>
    <t>dia 227</t>
  </si>
  <si>
    <t>dia 228</t>
  </si>
  <si>
    <t>dia 229</t>
  </si>
  <si>
    <t>dia 230</t>
  </si>
  <si>
    <t>dia 231</t>
  </si>
  <si>
    <t>dia 232</t>
  </si>
  <si>
    <t>dia 233</t>
  </si>
  <si>
    <t>dia 234</t>
  </si>
  <si>
    <t>dia 235</t>
  </si>
  <si>
    <t>dia 236</t>
  </si>
  <si>
    <t>dia 237</t>
  </si>
  <si>
    <t>dia 238</t>
  </si>
  <si>
    <t>dia 239</t>
  </si>
  <si>
    <t>dia 240</t>
  </si>
  <si>
    <t>dia 241</t>
  </si>
  <si>
    <t>dia 242</t>
  </si>
  <si>
    <t>dia 243</t>
  </si>
  <si>
    <t>dia 244</t>
  </si>
  <si>
    <t>dia 245</t>
  </si>
  <si>
    <t>dia 246</t>
  </si>
  <si>
    <t>dia 247</t>
  </si>
  <si>
    <t>dia 248</t>
  </si>
  <si>
    <t>dia 249</t>
  </si>
  <si>
    <t>dia 250</t>
  </si>
  <si>
    <t>dia 251</t>
  </si>
  <si>
    <t>dia 252</t>
  </si>
  <si>
    <t>dia 253</t>
  </si>
  <si>
    <t>dia 254</t>
  </si>
  <si>
    <t>dia 255</t>
  </si>
  <si>
    <t>dia 256</t>
  </si>
  <si>
    <t>dia 257</t>
  </si>
  <si>
    <t>dia 258</t>
  </si>
  <si>
    <t>dia 259</t>
  </si>
  <si>
    <t>dia 260</t>
  </si>
  <si>
    <t>dia 261</t>
  </si>
  <si>
    <t>dia 262</t>
  </si>
  <si>
    <t>dia 263</t>
  </si>
  <si>
    <t>dia 264</t>
  </si>
  <si>
    <t>dia 265</t>
  </si>
  <si>
    <t>dia 266</t>
  </si>
  <si>
    <t>dia 267</t>
  </si>
  <si>
    <t>dia 268</t>
  </si>
  <si>
    <t>dia 269</t>
  </si>
  <si>
    <t>dia 270</t>
  </si>
  <si>
    <t>dia 271</t>
  </si>
  <si>
    <t>dia 272</t>
  </si>
  <si>
    <t>dia 273</t>
  </si>
  <si>
    <t>dia 274</t>
  </si>
  <si>
    <t>dia 275</t>
  </si>
  <si>
    <t>dia 276</t>
  </si>
  <si>
    <t>dia 277</t>
  </si>
  <si>
    <t>dia 278</t>
  </si>
  <si>
    <t>dia 279</t>
  </si>
  <si>
    <t>dia 280</t>
  </si>
  <si>
    <t>dia 281</t>
  </si>
  <si>
    <t>dia 282</t>
  </si>
  <si>
    <t>dia 283</t>
  </si>
  <si>
    <t>dia 284</t>
  </si>
  <si>
    <t>dia 285</t>
  </si>
  <si>
    <t>dia 286</t>
  </si>
  <si>
    <t>dia 287</t>
  </si>
  <si>
    <t>dia 288</t>
  </si>
  <si>
    <t>dia 289</t>
  </si>
  <si>
    <t>dia 290</t>
  </si>
  <si>
    <t>dia 291</t>
  </si>
  <si>
    <t>dia 292</t>
  </si>
  <si>
    <t>dia 293</t>
  </si>
  <si>
    <t>dia 294</t>
  </si>
  <si>
    <t>dia 295</t>
  </si>
  <si>
    <t>dia 296</t>
  </si>
  <si>
    <t>dia 297</t>
  </si>
  <si>
    <t>dia 298</t>
  </si>
  <si>
    <t>dia 299</t>
  </si>
  <si>
    <t>dia 300</t>
  </si>
  <si>
    <t>dia 301</t>
  </si>
  <si>
    <t>dia 302</t>
  </si>
  <si>
    <t>dia 303</t>
  </si>
  <si>
    <t>dia 304</t>
  </si>
  <si>
    <t>dia 305</t>
  </si>
  <si>
    <t>dia 306</t>
  </si>
  <si>
    <t>dia 307</t>
  </si>
  <si>
    <t>dia 308</t>
  </si>
  <si>
    <t>dia 309</t>
  </si>
  <si>
    <t>dia 310</t>
  </si>
  <si>
    <t>dia 311</t>
  </si>
  <si>
    <t>dia 312</t>
  </si>
  <si>
    <t>dia 313</t>
  </si>
  <si>
    <t>dia 314</t>
  </si>
  <si>
    <t>dia 315</t>
  </si>
  <si>
    <t>dia 316</t>
  </si>
  <si>
    <t>dia 317</t>
  </si>
  <si>
    <t>dia 318</t>
  </si>
  <si>
    <t>dia 319</t>
  </si>
  <si>
    <t>dia 320</t>
  </si>
  <si>
    <t>dia 321</t>
  </si>
  <si>
    <t>dia 322</t>
  </si>
  <si>
    <t>dia 323</t>
  </si>
  <si>
    <t>dia 324</t>
  </si>
  <si>
    <t>dia 325</t>
  </si>
  <si>
    <t>dia 326</t>
  </si>
  <si>
    <t>dia 327</t>
  </si>
  <si>
    <t>dia 328</t>
  </si>
  <si>
    <t>dia 329</t>
  </si>
  <si>
    <t>dia 330</t>
  </si>
  <si>
    <t>dia 331</t>
  </si>
  <si>
    <t>dia 332</t>
  </si>
  <si>
    <t>dia 333</t>
  </si>
  <si>
    <t>dia 334</t>
  </si>
  <si>
    <t>dia 335</t>
  </si>
  <si>
    <t>dia 336</t>
  </si>
  <si>
    <t>dia 337</t>
  </si>
  <si>
    <t>dia 338</t>
  </si>
  <si>
    <t>dia 339</t>
  </si>
  <si>
    <t>dia 340</t>
  </si>
  <si>
    <t>dia 341</t>
  </si>
  <si>
    <t>dia 342</t>
  </si>
  <si>
    <t>dia 343</t>
  </si>
  <si>
    <t>dia 344</t>
  </si>
  <si>
    <t>dia 345</t>
  </si>
  <si>
    <t>dia 346</t>
  </si>
  <si>
    <t>dia 347</t>
  </si>
  <si>
    <t>dia 348</t>
  </si>
  <si>
    <t>dia 349</t>
  </si>
  <si>
    <t>dia 350</t>
  </si>
  <si>
    <t>dia 351</t>
  </si>
  <si>
    <t>dia 352</t>
  </si>
  <si>
    <t>dia 353</t>
  </si>
  <si>
    <t>dia 354</t>
  </si>
  <si>
    <t>dia 355</t>
  </si>
  <si>
    <t>dia 356</t>
  </si>
  <si>
    <t>dia 357</t>
  </si>
  <si>
    <t>dia 358</t>
  </si>
  <si>
    <t>dia 359</t>
  </si>
  <si>
    <t>dia 360</t>
  </si>
  <si>
    <t>dia 361</t>
  </si>
  <si>
    <t>dia 362</t>
  </si>
  <si>
    <t>dia 363</t>
  </si>
  <si>
    <t>dia 364</t>
  </si>
  <si>
    <t>dia 365</t>
  </si>
  <si>
    <t>dia 366</t>
  </si>
  <si>
    <t>dia 367</t>
  </si>
  <si>
    <t>dia 368</t>
  </si>
  <si>
    <t>dia 369</t>
  </si>
  <si>
    <t>dia 370</t>
  </si>
  <si>
    <t>dia 371</t>
  </si>
  <si>
    <t>dia 372</t>
  </si>
  <si>
    <t>dia 373</t>
  </si>
  <si>
    <t>dia 374</t>
  </si>
  <si>
    <t>dia 375</t>
  </si>
  <si>
    <t>dia 376</t>
  </si>
  <si>
    <t>dia 377</t>
  </si>
  <si>
    <t>dia 378</t>
  </si>
  <si>
    <t>dia 379</t>
  </si>
  <si>
    <t>dia 380</t>
  </si>
  <si>
    <t>dia 381</t>
  </si>
  <si>
    <t>dia 382</t>
  </si>
  <si>
    <t>dia 383</t>
  </si>
  <si>
    <t>dia 384</t>
  </si>
  <si>
    <t>dia 385</t>
  </si>
  <si>
    <t>dia 386</t>
  </si>
  <si>
    <t>dia 387</t>
  </si>
  <si>
    <t>dia 388</t>
  </si>
  <si>
    <t>dia 389</t>
  </si>
  <si>
    <t>dia 390</t>
  </si>
  <si>
    <t>dia 391</t>
  </si>
  <si>
    <t>dia 392</t>
  </si>
  <si>
    <t>dia 393</t>
  </si>
  <si>
    <t>dia 394</t>
  </si>
  <si>
    <t>dia 395</t>
  </si>
  <si>
    <t>dia 396</t>
  </si>
  <si>
    <t>dia 397</t>
  </si>
  <si>
    <t>dia 398</t>
  </si>
  <si>
    <t>dia 399</t>
  </si>
  <si>
    <t>dia 400</t>
  </si>
  <si>
    <t>dia 401</t>
  </si>
  <si>
    <t>dia 402</t>
  </si>
  <si>
    <t>dia 403</t>
  </si>
  <si>
    <t>dia 404</t>
  </si>
  <si>
    <t>dia 405</t>
  </si>
  <si>
    <t>dia 406</t>
  </si>
  <si>
    <t>dia 407</t>
  </si>
  <si>
    <t>dia 408</t>
  </si>
  <si>
    <t>dia 409</t>
  </si>
  <si>
    <t>dia 410</t>
  </si>
  <si>
    <t>dia 411</t>
  </si>
  <si>
    <t>dia 412</t>
  </si>
  <si>
    <t>dia 413</t>
  </si>
  <si>
    <t>dia 414</t>
  </si>
  <si>
    <t>dia 415</t>
  </si>
  <si>
    <t>dia 416</t>
  </si>
  <si>
    <t>dia 417</t>
  </si>
  <si>
    <t>dia 418</t>
  </si>
  <si>
    <t>dia 419</t>
  </si>
  <si>
    <t>dia 420</t>
  </si>
  <si>
    <t>dia 421</t>
  </si>
  <si>
    <t>dia 422</t>
  </si>
  <si>
    <t>dia 423</t>
  </si>
  <si>
    <t>dia 424</t>
  </si>
  <si>
    <t>dia 425</t>
  </si>
  <si>
    <t>dia 426</t>
  </si>
  <si>
    <t>dia 427</t>
  </si>
  <si>
    <t>dia 428</t>
  </si>
  <si>
    <t>dia 429</t>
  </si>
  <si>
    <t>dia 430</t>
  </si>
  <si>
    <t>dia 431</t>
  </si>
  <si>
    <t>dia 432</t>
  </si>
  <si>
    <t>dia 433</t>
  </si>
  <si>
    <t>dia 434</t>
  </si>
  <si>
    <t>dia 435</t>
  </si>
  <si>
    <t>dia 436</t>
  </si>
  <si>
    <t>dia 437</t>
  </si>
  <si>
    <t>dia 438</t>
  </si>
  <si>
    <t>dia 439</t>
  </si>
  <si>
    <t>dia 440</t>
  </si>
  <si>
    <t>dia 441</t>
  </si>
  <si>
    <t>dia 442</t>
  </si>
  <si>
    <t>dia 443</t>
  </si>
  <si>
    <t>dia 444</t>
  </si>
  <si>
    <t>dia 445</t>
  </si>
  <si>
    <t>dia 446</t>
  </si>
  <si>
    <t>dia 447</t>
  </si>
  <si>
    <t>dia 448</t>
  </si>
  <si>
    <t>dia 449</t>
  </si>
  <si>
    <t>dia 450</t>
  </si>
  <si>
    <t>dia 451</t>
  </si>
  <si>
    <t>dia 452</t>
  </si>
  <si>
    <t>dia 453</t>
  </si>
  <si>
    <t>dia 454</t>
  </si>
  <si>
    <t>dia 455</t>
  </si>
  <si>
    <t>dia 456</t>
  </si>
  <si>
    <t>dia 457</t>
  </si>
  <si>
    <t>dia 458</t>
  </si>
  <si>
    <t>dia 459</t>
  </si>
  <si>
    <t>dia 460</t>
  </si>
  <si>
    <t>dia 461</t>
  </si>
  <si>
    <t>dia 462</t>
  </si>
  <si>
    <t>dia 463</t>
  </si>
  <si>
    <t>dia 464</t>
  </si>
  <si>
    <t>dia 465</t>
  </si>
  <si>
    <t>dia 466</t>
  </si>
  <si>
    <t>dia 467</t>
  </si>
  <si>
    <t>dia 468</t>
  </si>
  <si>
    <t>dia 469</t>
  </si>
  <si>
    <t>dia 470</t>
  </si>
  <si>
    <t>dia 471</t>
  </si>
  <si>
    <t>dia 472</t>
  </si>
  <si>
    <t>dia 473</t>
  </si>
  <si>
    <t>dia 474</t>
  </si>
  <si>
    <t>dia 475</t>
  </si>
  <si>
    <t>dia 476</t>
  </si>
  <si>
    <t>dia 477</t>
  </si>
  <si>
    <t>dia 478</t>
  </si>
  <si>
    <t>dia 479</t>
  </si>
  <si>
    <t>dia 480</t>
  </si>
  <si>
    <t>dia 481</t>
  </si>
  <si>
    <t>dia 482</t>
  </si>
  <si>
    <t>dia 483</t>
  </si>
  <si>
    <t>dia 484</t>
  </si>
  <si>
    <t>dia 485</t>
  </si>
  <si>
    <t>dia 486</t>
  </si>
  <si>
    <t>dia 487</t>
  </si>
  <si>
    <t>dia 488</t>
  </si>
  <si>
    <t>dia 489</t>
  </si>
  <si>
    <t>dia 490</t>
  </si>
  <si>
    <t>dia 491</t>
  </si>
  <si>
    <t>dia 492</t>
  </si>
  <si>
    <t>dia 493</t>
  </si>
  <si>
    <t>dia 494</t>
  </si>
  <si>
    <t>dia 495</t>
  </si>
  <si>
    <t>dia 496</t>
  </si>
  <si>
    <t>dia 497</t>
  </si>
  <si>
    <t>dia 498</t>
  </si>
  <si>
    <t>dia 499</t>
  </si>
  <si>
    <t>dia 500</t>
  </si>
  <si>
    <t>dia 501</t>
  </si>
  <si>
    <t>dia 502</t>
  </si>
  <si>
    <t>dia 503</t>
  </si>
  <si>
    <t>dia 504</t>
  </si>
  <si>
    <t>dia 505</t>
  </si>
  <si>
    <t>dia 506</t>
  </si>
  <si>
    <t>dia 507</t>
  </si>
  <si>
    <t>dia 508</t>
  </si>
  <si>
    <t>dia 509</t>
  </si>
  <si>
    <t>dia 510</t>
  </si>
  <si>
    <t>dia 511</t>
  </si>
  <si>
    <t>dia 512</t>
  </si>
  <si>
    <t>dia 513</t>
  </si>
  <si>
    <t>dia 514</t>
  </si>
  <si>
    <t>dia 515</t>
  </si>
  <si>
    <t>dia 516</t>
  </si>
  <si>
    <t>dia 517</t>
  </si>
  <si>
    <t>dia 518</t>
  </si>
  <si>
    <t>dia 519</t>
  </si>
  <si>
    <t>dia 520</t>
  </si>
  <si>
    <t>dia 521</t>
  </si>
  <si>
    <t>dia 522</t>
  </si>
  <si>
    <t>dia 523</t>
  </si>
  <si>
    <t>dia 524</t>
  </si>
  <si>
    <t>dia 525</t>
  </si>
  <si>
    <t>dia 526</t>
  </si>
  <si>
    <t>dia 527</t>
  </si>
  <si>
    <t>dia 528</t>
  </si>
  <si>
    <t>dia 529</t>
  </si>
  <si>
    <t>dia 530</t>
  </si>
  <si>
    <t>dia 531</t>
  </si>
  <si>
    <t>dia 532</t>
  </si>
  <si>
    <t>dia 533</t>
  </si>
  <si>
    <t>dia 534</t>
  </si>
  <si>
    <t>dia 535</t>
  </si>
  <si>
    <t>dia 536</t>
  </si>
  <si>
    <t>dia 537</t>
  </si>
  <si>
    <t>dia 538</t>
  </si>
  <si>
    <t>dia 539</t>
  </si>
  <si>
    <t>dia 540</t>
  </si>
  <si>
    <t>dia 541</t>
  </si>
  <si>
    <t>dia 542</t>
  </si>
  <si>
    <t>dia 543</t>
  </si>
  <si>
    <t>dia 544</t>
  </si>
  <si>
    <t>dia 545</t>
  </si>
  <si>
    <t>dia 546</t>
  </si>
  <si>
    <t>dia 547</t>
  </si>
  <si>
    <t>dia 548</t>
  </si>
  <si>
    <t>dia 549</t>
  </si>
  <si>
    <t>dia 550</t>
  </si>
  <si>
    <t>dia 551</t>
  </si>
  <si>
    <t>dia 552</t>
  </si>
  <si>
    <t>dia 553</t>
  </si>
  <si>
    <t>dia 554</t>
  </si>
  <si>
    <t>dia 555</t>
  </si>
  <si>
    <t>dia 556</t>
  </si>
  <si>
    <t>dia 557</t>
  </si>
  <si>
    <t>dia 558</t>
  </si>
  <si>
    <t>dia 559</t>
  </si>
  <si>
    <t>dia 560</t>
  </si>
  <si>
    <t>dia 561</t>
  </si>
  <si>
    <t>dia 562</t>
  </si>
  <si>
    <t>dia 563</t>
  </si>
  <si>
    <t>dia 564</t>
  </si>
  <si>
    <t>dia 565</t>
  </si>
  <si>
    <t>dia 566</t>
  </si>
  <si>
    <t>dia 567</t>
  </si>
  <si>
    <t>dia 568</t>
  </si>
  <si>
    <t>dia 569</t>
  </si>
  <si>
    <t>dia 570</t>
  </si>
  <si>
    <t>dia 571</t>
  </si>
  <si>
    <t>dia 572</t>
  </si>
  <si>
    <t>dia 573</t>
  </si>
  <si>
    <t>dia 574</t>
  </si>
  <si>
    <t>dia 575</t>
  </si>
  <si>
    <t>dia 576</t>
  </si>
  <si>
    <t>dia 577</t>
  </si>
  <si>
    <t>dia 578</t>
  </si>
  <si>
    <t>dia 579</t>
  </si>
  <si>
    <t>dia 580</t>
  </si>
  <si>
    <t>dia 581</t>
  </si>
  <si>
    <t>dia 582</t>
  </si>
  <si>
    <t>dia 583</t>
  </si>
  <si>
    <t>dia 584</t>
  </si>
  <si>
    <t>dia 585</t>
  </si>
  <si>
    <t>dia 586</t>
  </si>
  <si>
    <t>dia 587</t>
  </si>
  <si>
    <t>dia 588</t>
  </si>
  <si>
    <t>dia 589</t>
  </si>
  <si>
    <t>dia 590</t>
  </si>
  <si>
    <t>dia 591</t>
  </si>
  <si>
    <t>dia 592</t>
  </si>
  <si>
    <t>dia 593</t>
  </si>
  <si>
    <t>dia 594</t>
  </si>
  <si>
    <t>dia 595</t>
  </si>
  <si>
    <t>dia 596</t>
  </si>
  <si>
    <t>dia 597</t>
  </si>
  <si>
    <t>dia 598</t>
  </si>
  <si>
    <t>dia 599</t>
  </si>
  <si>
    <t>dia 600</t>
  </si>
  <si>
    <t>dia 601</t>
  </si>
  <si>
    <t>dia 602</t>
  </si>
  <si>
    <t>dia 603</t>
  </si>
  <si>
    <t>dia 604</t>
  </si>
  <si>
    <t>dia 605</t>
  </si>
  <si>
    <t>dia 606</t>
  </si>
  <si>
    <t>dia 607</t>
  </si>
  <si>
    <t>dia 608</t>
  </si>
  <si>
    <t>dia 609</t>
  </si>
  <si>
    <t>dia 610</t>
  </si>
  <si>
    <t>dia 611</t>
  </si>
  <si>
    <t>dia 612</t>
  </si>
  <si>
    <t>dia 613</t>
  </si>
  <si>
    <t>dia 614</t>
  </si>
  <si>
    <t>dia 615</t>
  </si>
  <si>
    <t>dia 616</t>
  </si>
  <si>
    <t>dia 617</t>
  </si>
  <si>
    <t>dia 618</t>
  </si>
  <si>
    <t>dia 619</t>
  </si>
  <si>
    <t>dia 620</t>
  </si>
  <si>
    <t>dia 621</t>
  </si>
  <si>
    <t>dia 622</t>
  </si>
  <si>
    <t>dia 623</t>
  </si>
  <si>
    <t>dia 624</t>
  </si>
  <si>
    <t>dia 625</t>
  </si>
  <si>
    <t>dia 626</t>
  </si>
  <si>
    <t>dia 627</t>
  </si>
  <si>
    <t>dia 628</t>
  </si>
  <si>
    <t>dia 629</t>
  </si>
  <si>
    <t>dia 630</t>
  </si>
  <si>
    <t>dia 631</t>
  </si>
  <si>
    <t>dia 632</t>
  </si>
  <si>
    <t>dia 633</t>
  </si>
  <si>
    <t>dia 634</t>
  </si>
  <si>
    <t>dia 635</t>
  </si>
  <si>
    <t>dia 636</t>
  </si>
  <si>
    <t>dia 637</t>
  </si>
  <si>
    <t>dia 638</t>
  </si>
  <si>
    <t>dia 639</t>
  </si>
  <si>
    <t>dia 640</t>
  </si>
  <si>
    <t>dia 641</t>
  </si>
  <si>
    <t>dia 642</t>
  </si>
  <si>
    <t>dia 643</t>
  </si>
  <si>
    <t>dia 644</t>
  </si>
  <si>
    <t>dia 645</t>
  </si>
  <si>
    <t>dia 646</t>
  </si>
  <si>
    <t>dia 647</t>
  </si>
  <si>
    <t>dia 648</t>
  </si>
  <si>
    <t>dia 649</t>
  </si>
  <si>
    <t>dia 650</t>
  </si>
  <si>
    <t>dia 651</t>
  </si>
  <si>
    <t>dia 652</t>
  </si>
  <si>
    <t>dia 653</t>
  </si>
  <si>
    <t>dia 654</t>
  </si>
  <si>
    <t>dia 655</t>
  </si>
  <si>
    <t>dia 656</t>
  </si>
  <si>
    <t>dia 657</t>
  </si>
  <si>
    <t>dia 658</t>
  </si>
  <si>
    <t>dia 659</t>
  </si>
  <si>
    <t>dia 660</t>
  </si>
  <si>
    <t>dia 661</t>
  </si>
  <si>
    <t>dia 662</t>
  </si>
  <si>
    <t>dia 663</t>
  </si>
  <si>
    <t>dia 664</t>
  </si>
  <si>
    <t>dia 665</t>
  </si>
  <si>
    <t>dia 666</t>
  </si>
  <si>
    <t>dia 667</t>
  </si>
  <si>
    <t>dia 668</t>
  </si>
  <si>
    <t>dia 669</t>
  </si>
  <si>
    <t>dia 670</t>
  </si>
  <si>
    <t>dia 671</t>
  </si>
  <si>
    <t>dia 672</t>
  </si>
  <si>
    <t>dia 673</t>
  </si>
  <si>
    <t>dia 674</t>
  </si>
  <si>
    <t>dia 675</t>
  </si>
  <si>
    <t>dia 676</t>
  </si>
  <si>
    <t>dia 677</t>
  </si>
  <si>
    <t>Banca inicial</t>
  </si>
  <si>
    <t>%Mes</t>
  </si>
  <si>
    <t>%stake</t>
  </si>
  <si>
    <t>entradas</t>
  </si>
  <si>
    <t>dia 678</t>
  </si>
  <si>
    <t>dia 679</t>
  </si>
  <si>
    <t>dia 680</t>
  </si>
  <si>
    <t>dia 681</t>
  </si>
  <si>
    <t>dia 682</t>
  </si>
  <si>
    <t>dia 683</t>
  </si>
  <si>
    <t>dia 684</t>
  </si>
  <si>
    <t>dia 685</t>
  </si>
  <si>
    <t>dia 686</t>
  </si>
  <si>
    <t>dia 687</t>
  </si>
  <si>
    <t>dia 688</t>
  </si>
  <si>
    <t>dia 689</t>
  </si>
  <si>
    <t>dia 690</t>
  </si>
  <si>
    <t>dia 691</t>
  </si>
  <si>
    <t>dia 692</t>
  </si>
  <si>
    <t>dia 693</t>
  </si>
  <si>
    <t>dia 694</t>
  </si>
  <si>
    <t>dia 695</t>
  </si>
  <si>
    <t>dia 696</t>
  </si>
  <si>
    <t>dia 697</t>
  </si>
  <si>
    <t>dia 698</t>
  </si>
  <si>
    <t>dia 699</t>
  </si>
  <si>
    <t>dia 700</t>
  </si>
  <si>
    <t>dia 701</t>
  </si>
  <si>
    <t>dia 702</t>
  </si>
  <si>
    <t>dia 703</t>
  </si>
  <si>
    <t>dia 704</t>
  </si>
  <si>
    <t>dia 705</t>
  </si>
  <si>
    <t>dia 706</t>
  </si>
  <si>
    <t>dia 707</t>
  </si>
  <si>
    <t>dia 708</t>
  </si>
  <si>
    <t>dia 709</t>
  </si>
  <si>
    <t>dia 710</t>
  </si>
  <si>
    <t>dia 711</t>
  </si>
  <si>
    <t>dia 712</t>
  </si>
  <si>
    <t>dia 713</t>
  </si>
  <si>
    <t>dia 714</t>
  </si>
  <si>
    <t>dia 715</t>
  </si>
  <si>
    <t>dia 716</t>
  </si>
  <si>
    <t>dia 717</t>
  </si>
  <si>
    <t>dia 718</t>
  </si>
  <si>
    <t>dia 719</t>
  </si>
  <si>
    <t>dia 720</t>
  </si>
  <si>
    <t>dia 721</t>
  </si>
  <si>
    <t>dia 722</t>
  </si>
  <si>
    <t>dia 723</t>
  </si>
  <si>
    <t>dia 724</t>
  </si>
  <si>
    <t>dia 725</t>
  </si>
  <si>
    <t>dia 726</t>
  </si>
  <si>
    <t>dia 727</t>
  </si>
  <si>
    <t>dia 728</t>
  </si>
  <si>
    <t>dia 729</t>
  </si>
  <si>
    <t>dia 730</t>
  </si>
  <si>
    <t>dia 731</t>
  </si>
  <si>
    <t>dia 732</t>
  </si>
  <si>
    <t>dia 733</t>
  </si>
  <si>
    <t>dia 734</t>
  </si>
  <si>
    <t>dia 735</t>
  </si>
  <si>
    <t>dia 736</t>
  </si>
  <si>
    <t>dia 737</t>
  </si>
  <si>
    <t>dia 738</t>
  </si>
  <si>
    <t>dia 739</t>
  </si>
  <si>
    <t>dia 740</t>
  </si>
  <si>
    <t>dia 741</t>
  </si>
  <si>
    <t>dia 742</t>
  </si>
  <si>
    <t>dia 743</t>
  </si>
  <si>
    <t>dia 744</t>
  </si>
  <si>
    <t>dia 745</t>
  </si>
  <si>
    <t>dia 746</t>
  </si>
  <si>
    <t>dia 747</t>
  </si>
  <si>
    <t>dia 748</t>
  </si>
  <si>
    <t>dia 749</t>
  </si>
  <si>
    <t>dia 750</t>
  </si>
  <si>
    <t>dia 751</t>
  </si>
  <si>
    <t>dia 752</t>
  </si>
  <si>
    <t>dia 753</t>
  </si>
  <si>
    <t>dia 754</t>
  </si>
  <si>
    <t>dia 755</t>
  </si>
  <si>
    <t>dia 756</t>
  </si>
  <si>
    <t>dia 757</t>
  </si>
  <si>
    <t>dia 758</t>
  </si>
  <si>
    <t>dia 759</t>
  </si>
  <si>
    <t>dia 760</t>
  </si>
  <si>
    <t>dia 761</t>
  </si>
  <si>
    <t>dia 762</t>
  </si>
  <si>
    <t>dia 763</t>
  </si>
  <si>
    <t>dia 764</t>
  </si>
  <si>
    <t>dia 765</t>
  </si>
  <si>
    <t>dia 766</t>
  </si>
  <si>
    <t>dia 767</t>
  </si>
  <si>
    <t>dia 768</t>
  </si>
  <si>
    <t>dia 769</t>
  </si>
  <si>
    <t>dia 770</t>
  </si>
  <si>
    <t>dia 771</t>
  </si>
  <si>
    <t>dia 772</t>
  </si>
  <si>
    <t>dia 773</t>
  </si>
  <si>
    <t>dia 774</t>
  </si>
  <si>
    <t>dia 775</t>
  </si>
  <si>
    <t>dia 776</t>
  </si>
  <si>
    <t>dia 777</t>
  </si>
  <si>
    <t>dia 778</t>
  </si>
  <si>
    <t>dia 779</t>
  </si>
  <si>
    <t>dia 780</t>
  </si>
  <si>
    <t>dia 781</t>
  </si>
  <si>
    <t>dia 782</t>
  </si>
  <si>
    <t>dia 783</t>
  </si>
  <si>
    <t>dia 784</t>
  </si>
  <si>
    <t>dia 785</t>
  </si>
  <si>
    <t>dia 786</t>
  </si>
  <si>
    <t>dia 787</t>
  </si>
  <si>
    <t>dia 788</t>
  </si>
  <si>
    <t>dia 789</t>
  </si>
  <si>
    <t>dia 790</t>
  </si>
  <si>
    <t>dia 791</t>
  </si>
  <si>
    <t>dia 792</t>
  </si>
  <si>
    <t>dia 793</t>
  </si>
  <si>
    <t>dia 794</t>
  </si>
  <si>
    <t>dia 795</t>
  </si>
  <si>
    <t>dia 796</t>
  </si>
  <si>
    <t>dia 797</t>
  </si>
  <si>
    <t>dia 798</t>
  </si>
  <si>
    <t>dia 799</t>
  </si>
  <si>
    <t>dia 800</t>
  </si>
  <si>
    <t>dia 801</t>
  </si>
  <si>
    <t>dia 802</t>
  </si>
  <si>
    <t>dia 803</t>
  </si>
  <si>
    <t>dia 804</t>
  </si>
  <si>
    <t>dia 805</t>
  </si>
  <si>
    <t>dia 806</t>
  </si>
  <si>
    <t>dia 807</t>
  </si>
  <si>
    <t>dia 808</t>
  </si>
  <si>
    <t>dia 809</t>
  </si>
  <si>
    <t>dia 810</t>
  </si>
  <si>
    <t>dia 811</t>
  </si>
  <si>
    <t>dia 812</t>
  </si>
  <si>
    <t>dia 813</t>
  </si>
  <si>
    <t>dia 814</t>
  </si>
  <si>
    <t>dia 815</t>
  </si>
  <si>
    <t>dia 816</t>
  </si>
  <si>
    <t>dia 817</t>
  </si>
  <si>
    <t>dia 818</t>
  </si>
  <si>
    <t>dia 819</t>
  </si>
  <si>
    <t>dia 820</t>
  </si>
  <si>
    <t>dia 821</t>
  </si>
  <si>
    <t>dia 822</t>
  </si>
  <si>
    <t>dia 823</t>
  </si>
  <si>
    <t>dia 824</t>
  </si>
  <si>
    <t>dia 825</t>
  </si>
  <si>
    <t>dia 826</t>
  </si>
  <si>
    <t>dia 827</t>
  </si>
  <si>
    <t>dia 828</t>
  </si>
  <si>
    <t>dia 829</t>
  </si>
  <si>
    <t>dia 830</t>
  </si>
  <si>
    <t>dia 831</t>
  </si>
  <si>
    <t>dia 832</t>
  </si>
  <si>
    <t>dia 833</t>
  </si>
  <si>
    <t>dia 834</t>
  </si>
  <si>
    <t>dia 835</t>
  </si>
  <si>
    <t>dia 836</t>
  </si>
  <si>
    <t>dia 837</t>
  </si>
  <si>
    <t>dia 838</t>
  </si>
  <si>
    <t>dia 839</t>
  </si>
  <si>
    <t>dia 840</t>
  </si>
  <si>
    <t>dia 841</t>
  </si>
  <si>
    <t>dia 842</t>
  </si>
  <si>
    <t>dia 843</t>
  </si>
  <si>
    <t>dia 844</t>
  </si>
  <si>
    <t>dia 845</t>
  </si>
  <si>
    <t>dia 846</t>
  </si>
  <si>
    <t>dia 847</t>
  </si>
  <si>
    <t>dia 848</t>
  </si>
  <si>
    <t>dia 849</t>
  </si>
  <si>
    <t>dia 850</t>
  </si>
  <si>
    <t>dia 851</t>
  </si>
  <si>
    <t>dia 852</t>
  </si>
  <si>
    <t>dia 853</t>
  </si>
  <si>
    <t>dia 854</t>
  </si>
  <si>
    <t>dia 855</t>
  </si>
  <si>
    <t>dia 856</t>
  </si>
  <si>
    <t>dia 857</t>
  </si>
  <si>
    <t>dia 858</t>
  </si>
  <si>
    <t>dia 859</t>
  </si>
  <si>
    <t>dia 860</t>
  </si>
  <si>
    <t>dia 861</t>
  </si>
  <si>
    <t>dia 862</t>
  </si>
  <si>
    <t>dia 863</t>
  </si>
  <si>
    <t>dia 864</t>
  </si>
  <si>
    <t>dia 865</t>
  </si>
  <si>
    <t>dia 866</t>
  </si>
  <si>
    <t>dia 867</t>
  </si>
  <si>
    <t>dia 868</t>
  </si>
  <si>
    <t>dia 869</t>
  </si>
  <si>
    <t>dia 870</t>
  </si>
  <si>
    <t>dia 871</t>
  </si>
  <si>
    <t>dia 872</t>
  </si>
  <si>
    <t>dia 873</t>
  </si>
  <si>
    <t>dia 874</t>
  </si>
  <si>
    <t>dia 875</t>
  </si>
  <si>
    <t>dia 876</t>
  </si>
  <si>
    <t>dia 877</t>
  </si>
  <si>
    <t>dia 878</t>
  </si>
  <si>
    <t>dia 879</t>
  </si>
  <si>
    <t>dia 880</t>
  </si>
  <si>
    <t>dia 881</t>
  </si>
  <si>
    <t>dia 882</t>
  </si>
  <si>
    <t>dia 883</t>
  </si>
  <si>
    <t>dia 884</t>
  </si>
  <si>
    <t>dia 885</t>
  </si>
  <si>
    <t>dia 886</t>
  </si>
  <si>
    <t>dia 887</t>
  </si>
  <si>
    <t>dia 888</t>
  </si>
  <si>
    <t>dia 889</t>
  </si>
  <si>
    <t>dia 890</t>
  </si>
  <si>
    <t>dia 891</t>
  </si>
  <si>
    <t>dia 892</t>
  </si>
  <si>
    <t>dia 893</t>
  </si>
  <si>
    <t>dia 894</t>
  </si>
  <si>
    <t>dia 895</t>
  </si>
  <si>
    <t>dia 896</t>
  </si>
  <si>
    <t>dia 897</t>
  </si>
  <si>
    <t>dia 898</t>
  </si>
  <si>
    <t>dia 899</t>
  </si>
  <si>
    <t>dia 900</t>
  </si>
  <si>
    <t>dia 901</t>
  </si>
  <si>
    <t>dia 902</t>
  </si>
  <si>
    <t>dia 903</t>
  </si>
  <si>
    <t>dia 904</t>
  </si>
  <si>
    <t>dia 905</t>
  </si>
  <si>
    <t>dia 906</t>
  </si>
  <si>
    <t>dia 907</t>
  </si>
  <si>
    <t>dia 908</t>
  </si>
  <si>
    <t>dia 909</t>
  </si>
  <si>
    <t>dia 910</t>
  </si>
  <si>
    <t>dia 911</t>
  </si>
  <si>
    <t>dia 912</t>
  </si>
  <si>
    <t>dia 913</t>
  </si>
  <si>
    <t>dia 914</t>
  </si>
  <si>
    <t>dia 915</t>
  </si>
  <si>
    <t>dia 916</t>
  </si>
  <si>
    <t>dia 917</t>
  </si>
  <si>
    <t>dia 918</t>
  </si>
  <si>
    <t>dia 919</t>
  </si>
  <si>
    <t>dia 920</t>
  </si>
  <si>
    <t>dia 921</t>
  </si>
  <si>
    <t>dia 922</t>
  </si>
  <si>
    <t>dia 923</t>
  </si>
  <si>
    <t>dia 924</t>
  </si>
  <si>
    <t>dia 925</t>
  </si>
  <si>
    <t>dia 926</t>
  </si>
  <si>
    <t>dia 927</t>
  </si>
  <si>
    <t>dia 928</t>
  </si>
  <si>
    <t>dia 929</t>
  </si>
  <si>
    <t>dia 930</t>
  </si>
  <si>
    <t>dia 931</t>
  </si>
  <si>
    <t>dia 932</t>
  </si>
  <si>
    <t>dia 933</t>
  </si>
  <si>
    <t>dia 934</t>
  </si>
  <si>
    <t>dia 935</t>
  </si>
  <si>
    <t>dia 936</t>
  </si>
  <si>
    <t>dia 937</t>
  </si>
  <si>
    <t>dia 938</t>
  </si>
  <si>
    <t>dia 939</t>
  </si>
  <si>
    <t>dia 940</t>
  </si>
  <si>
    <t>dia 941</t>
  </si>
  <si>
    <t>dia 942</t>
  </si>
  <si>
    <t>dia 943</t>
  </si>
  <si>
    <t>dia 944</t>
  </si>
  <si>
    <t>dia 945</t>
  </si>
  <si>
    <t>dia 946</t>
  </si>
  <si>
    <t>dia 947</t>
  </si>
  <si>
    <t>dia 948</t>
  </si>
  <si>
    <t>dia 949</t>
  </si>
  <si>
    <t>dia 950</t>
  </si>
  <si>
    <t>dia 951</t>
  </si>
  <si>
    <t>dia 952</t>
  </si>
  <si>
    <t>dia 953</t>
  </si>
  <si>
    <t>dia 954</t>
  </si>
  <si>
    <t>dia 955</t>
  </si>
  <si>
    <t>dia 956</t>
  </si>
  <si>
    <t>dia 957</t>
  </si>
  <si>
    <t>dia 958</t>
  </si>
  <si>
    <t>dia 959</t>
  </si>
  <si>
    <t>dia 960</t>
  </si>
  <si>
    <t>dia 961</t>
  </si>
  <si>
    <t>dia 962</t>
  </si>
  <si>
    <t>dia 963</t>
  </si>
  <si>
    <t>dia 964</t>
  </si>
  <si>
    <t>dia 965</t>
  </si>
  <si>
    <t>dia 966</t>
  </si>
  <si>
    <t>dia 967</t>
  </si>
  <si>
    <t>dia 968</t>
  </si>
  <si>
    <t>dia 969</t>
  </si>
  <si>
    <t>dia 970</t>
  </si>
  <si>
    <t>dia 971</t>
  </si>
  <si>
    <t>dia 972</t>
  </si>
  <si>
    <t>dia 973</t>
  </si>
  <si>
    <t>dia 974</t>
  </si>
  <si>
    <t>dia 975</t>
  </si>
  <si>
    <t>dia 976</t>
  </si>
  <si>
    <t>dia 977</t>
  </si>
  <si>
    <t>dia 978</t>
  </si>
  <si>
    <t>dia 979</t>
  </si>
  <si>
    <t>dia 980</t>
  </si>
  <si>
    <t>dia 981</t>
  </si>
  <si>
    <t>dia 982</t>
  </si>
  <si>
    <t>dia 983</t>
  </si>
  <si>
    <t>dia 984</t>
  </si>
  <si>
    <t>dia 985</t>
  </si>
  <si>
    <t>dia 986</t>
  </si>
  <si>
    <t>dia 987</t>
  </si>
  <si>
    <t>dia 988</t>
  </si>
  <si>
    <t>dia 989</t>
  </si>
  <si>
    <t>dia 990</t>
  </si>
  <si>
    <t>dia 991</t>
  </si>
  <si>
    <t>dia 992</t>
  </si>
  <si>
    <t>dia 993</t>
  </si>
  <si>
    <t>dia 994</t>
  </si>
  <si>
    <t>dia 995</t>
  </si>
  <si>
    <t>dia 996</t>
  </si>
  <si>
    <t>dia 997</t>
  </si>
  <si>
    <t>dia 998</t>
  </si>
  <si>
    <t>dia 999</t>
  </si>
  <si>
    <t>dia 1000</t>
  </si>
  <si>
    <t>dia 1001</t>
  </si>
  <si>
    <t>dia 1002</t>
  </si>
  <si>
    <t>dia 1003</t>
  </si>
  <si>
    <t>dia 1004</t>
  </si>
  <si>
    <t>dia 1005</t>
  </si>
  <si>
    <t>dia 1006</t>
  </si>
  <si>
    <t>dia 1007</t>
  </si>
  <si>
    <t>dia 1008</t>
  </si>
  <si>
    <t>dia 1009</t>
  </si>
  <si>
    <t>dia 1010</t>
  </si>
  <si>
    <t>dia 1011</t>
  </si>
  <si>
    <t>dia 1012</t>
  </si>
  <si>
    <t>dia 1013</t>
  </si>
  <si>
    <t>dia 1014</t>
  </si>
  <si>
    <t>dia 1015</t>
  </si>
  <si>
    <t>dia 1016</t>
  </si>
  <si>
    <t>dia 1017</t>
  </si>
  <si>
    <t>dia 1018</t>
  </si>
  <si>
    <t>dia 1019</t>
  </si>
  <si>
    <t>dia 1020</t>
  </si>
  <si>
    <t>dia 1021</t>
  </si>
  <si>
    <t>dia 1022</t>
  </si>
  <si>
    <t>dia 1023</t>
  </si>
  <si>
    <t>dia 1024</t>
  </si>
  <si>
    <t>dia 1025</t>
  </si>
  <si>
    <t>dia 1026</t>
  </si>
  <si>
    <t>dia 1027</t>
  </si>
  <si>
    <t>dia 1028</t>
  </si>
  <si>
    <t>dia 1029</t>
  </si>
  <si>
    <t>dia 1030</t>
  </si>
  <si>
    <t>dia 1031</t>
  </si>
  <si>
    <t>dia 1032</t>
  </si>
  <si>
    <t>dia 1033</t>
  </si>
  <si>
    <t>dia 1034</t>
  </si>
  <si>
    <t>dia 1035</t>
  </si>
  <si>
    <t>dia 1036</t>
  </si>
  <si>
    <t>dia 1037</t>
  </si>
  <si>
    <t>dia 1038</t>
  </si>
  <si>
    <t>dia 1039</t>
  </si>
  <si>
    <t>dia 1040</t>
  </si>
  <si>
    <t>dia 1041</t>
  </si>
  <si>
    <t>dia 1042</t>
  </si>
  <si>
    <t>dia 1043</t>
  </si>
  <si>
    <t>dia 1044</t>
  </si>
  <si>
    <t>dia 1045</t>
  </si>
  <si>
    <t>dia 1046</t>
  </si>
  <si>
    <t>dia 1047</t>
  </si>
  <si>
    <t>dia 1048</t>
  </si>
  <si>
    <t>dia 1049</t>
  </si>
  <si>
    <t>dia 1050</t>
  </si>
  <si>
    <t>dia 1051</t>
  </si>
  <si>
    <t>dia 1052</t>
  </si>
  <si>
    <t>dia 1053</t>
  </si>
  <si>
    <t>dia 1054</t>
  </si>
  <si>
    <t>dia 1055</t>
  </si>
  <si>
    <t>dia 1056</t>
  </si>
  <si>
    <t>dia 1057</t>
  </si>
  <si>
    <t>dia 1058</t>
  </si>
  <si>
    <t>dia 1059</t>
  </si>
  <si>
    <t>dia 1060</t>
  </si>
  <si>
    <t>dia 1061</t>
  </si>
  <si>
    <t>dia 1062</t>
  </si>
  <si>
    <t>dia 1063</t>
  </si>
  <si>
    <t>dia 1064</t>
  </si>
  <si>
    <t>dia 1065</t>
  </si>
  <si>
    <t>dia 1066</t>
  </si>
  <si>
    <t>dia 1067</t>
  </si>
  <si>
    <t>dia 1068</t>
  </si>
  <si>
    <t>dia 1069</t>
  </si>
  <si>
    <t>dia 1070</t>
  </si>
  <si>
    <t>dia 1071</t>
  </si>
  <si>
    <t>dia 1072</t>
  </si>
  <si>
    <t>dia 1073</t>
  </si>
  <si>
    <t>dia 1074</t>
  </si>
  <si>
    <t>dia 1075</t>
  </si>
  <si>
    <t>dia 1076</t>
  </si>
  <si>
    <t>dia 1077</t>
  </si>
  <si>
    <t>dia 1078</t>
  </si>
  <si>
    <t>dia 1079</t>
  </si>
  <si>
    <t>dia 1080</t>
  </si>
  <si>
    <t>dia 1081</t>
  </si>
  <si>
    <t>dia 1082</t>
  </si>
  <si>
    <t>dia 1083</t>
  </si>
  <si>
    <t>dia 1084</t>
  </si>
  <si>
    <t>dia 1085</t>
  </si>
  <si>
    <t>dia 1086</t>
  </si>
  <si>
    <t>dia 1087</t>
  </si>
  <si>
    <t>dia 1088</t>
  </si>
  <si>
    <t>dia 1089</t>
  </si>
  <si>
    <t>dia 1090</t>
  </si>
  <si>
    <t>dia 1091</t>
  </si>
  <si>
    <t>dia 1092</t>
  </si>
  <si>
    <t>dia 1093</t>
  </si>
  <si>
    <t>dia 1094</t>
  </si>
  <si>
    <t>dia 1095</t>
  </si>
  <si>
    <t>dia 1096</t>
  </si>
  <si>
    <t>dia 1097</t>
  </si>
  <si>
    <t>dia 1098</t>
  </si>
  <si>
    <t>dia 1099</t>
  </si>
  <si>
    <t>dia 1100</t>
  </si>
  <si>
    <t>dia 1101</t>
  </si>
  <si>
    <t>dia 1102</t>
  </si>
  <si>
    <t>dia 1103</t>
  </si>
  <si>
    <t>dia 1104</t>
  </si>
  <si>
    <t>dia 1105</t>
  </si>
  <si>
    <t>dia 1106</t>
  </si>
  <si>
    <t>dia 1107</t>
  </si>
  <si>
    <t>dia 1108</t>
  </si>
  <si>
    <t>dia 1109</t>
  </si>
  <si>
    <t>dia 1110</t>
  </si>
  <si>
    <t>dia 1111</t>
  </si>
  <si>
    <t>dia 1112</t>
  </si>
  <si>
    <t>dia 1113</t>
  </si>
  <si>
    <t>dia 1114</t>
  </si>
  <si>
    <t>dia 1115</t>
  </si>
  <si>
    <t>dia 1116</t>
  </si>
  <si>
    <t>dia 1117</t>
  </si>
  <si>
    <t>dia 1118</t>
  </si>
  <si>
    <t>dia 1119</t>
  </si>
  <si>
    <t>dia 1120</t>
  </si>
  <si>
    <t>dia 1121</t>
  </si>
  <si>
    <t>dia 1122</t>
  </si>
  <si>
    <t>dia 1123</t>
  </si>
  <si>
    <t>dia 1124</t>
  </si>
  <si>
    <t>dia 1125</t>
  </si>
  <si>
    <t>dia 1126</t>
  </si>
  <si>
    <t>dia 1127</t>
  </si>
  <si>
    <t>dia 1128</t>
  </si>
  <si>
    <t>dia 1129</t>
  </si>
  <si>
    <t>dia 1130</t>
  </si>
  <si>
    <t>dia 1131</t>
  </si>
  <si>
    <t>dia 1132</t>
  </si>
  <si>
    <t>dia 1133</t>
  </si>
  <si>
    <t>dia 1134</t>
  </si>
  <si>
    <t>dia 1135</t>
  </si>
  <si>
    <t>dia 1136</t>
  </si>
  <si>
    <t>dia 1137</t>
  </si>
  <si>
    <t>dia 1138</t>
  </si>
  <si>
    <t>dia 1139</t>
  </si>
  <si>
    <t>dia 1140</t>
  </si>
  <si>
    <t>dia 1141</t>
  </si>
  <si>
    <t>dia 1142</t>
  </si>
  <si>
    <t>dia 1143</t>
  </si>
  <si>
    <t>dia 1144</t>
  </si>
  <si>
    <t>dia 1145</t>
  </si>
  <si>
    <t>dia 1146</t>
  </si>
  <si>
    <t>dia 1147</t>
  </si>
  <si>
    <t>dia 1148</t>
  </si>
  <si>
    <t>dia 1149</t>
  </si>
  <si>
    <t>dia 1150</t>
  </si>
  <si>
    <t>dia 1151</t>
  </si>
  <si>
    <t>dia 1152</t>
  </si>
  <si>
    <t>dia 1153</t>
  </si>
  <si>
    <t>dia 1154</t>
  </si>
  <si>
    <t>dia 1155</t>
  </si>
  <si>
    <t>dia 1156</t>
  </si>
  <si>
    <t>dia 1157</t>
  </si>
  <si>
    <t>dia 1158</t>
  </si>
  <si>
    <t>dia 1159</t>
  </si>
  <si>
    <t>dia 1160</t>
  </si>
  <si>
    <t>dia 1161</t>
  </si>
  <si>
    <t>dia 1162</t>
  </si>
  <si>
    <t>dia 1163</t>
  </si>
  <si>
    <t>dia 1164</t>
  </si>
  <si>
    <t>dia 1165</t>
  </si>
  <si>
    <t>dia 1166</t>
  </si>
  <si>
    <t>dia 1167</t>
  </si>
  <si>
    <t>dia 1168</t>
  </si>
  <si>
    <t>dia 1169</t>
  </si>
  <si>
    <t>dia 1170</t>
  </si>
  <si>
    <t>dia 1171</t>
  </si>
  <si>
    <t>dia 1172</t>
  </si>
  <si>
    <t>dia 1173</t>
  </si>
  <si>
    <t>dia 1174</t>
  </si>
  <si>
    <t>dia 1175</t>
  </si>
  <si>
    <t>dia 1176</t>
  </si>
  <si>
    <t>dia 1177</t>
  </si>
  <si>
    <t>dia 1178</t>
  </si>
  <si>
    <t>dia 1179</t>
  </si>
  <si>
    <t>dia 1180</t>
  </si>
  <si>
    <t>dia 1181</t>
  </si>
  <si>
    <t>dia 1182</t>
  </si>
  <si>
    <t>dia 1183</t>
  </si>
  <si>
    <t>dia 1184</t>
  </si>
  <si>
    <t>dia 1185</t>
  </si>
  <si>
    <t>dia 1186</t>
  </si>
  <si>
    <t>dia 1187</t>
  </si>
  <si>
    <t>dia 1188</t>
  </si>
  <si>
    <t>dia 1189</t>
  </si>
  <si>
    <t>dia 1190</t>
  </si>
  <si>
    <t>dia 1191</t>
  </si>
  <si>
    <t>dia 1192</t>
  </si>
  <si>
    <t>dia 1193</t>
  </si>
  <si>
    <t>dia 1194</t>
  </si>
  <si>
    <t>dia 1195</t>
  </si>
  <si>
    <t>dia 1196</t>
  </si>
  <si>
    <t>dia 1197</t>
  </si>
  <si>
    <t>dia 1198</t>
  </si>
  <si>
    <t>dia 1199</t>
  </si>
  <si>
    <t>dia 1200</t>
  </si>
  <si>
    <t>dia 1201</t>
  </si>
  <si>
    <t>RedMax</t>
  </si>
  <si>
    <t>Greens</t>
  </si>
  <si>
    <t>Jogos</t>
  </si>
  <si>
    <t>Reds</t>
  </si>
  <si>
    <t>Saldo</t>
  </si>
  <si>
    <t>mês 1</t>
  </si>
  <si>
    <t>ano 1</t>
  </si>
  <si>
    <t>mês 2</t>
  </si>
  <si>
    <t>Inicio</t>
  </si>
  <si>
    <t>rendaM</t>
  </si>
  <si>
    <t>mês 3</t>
  </si>
  <si>
    <t>mês 4</t>
  </si>
  <si>
    <t>mês 5</t>
  </si>
  <si>
    <t>mês 6</t>
  </si>
  <si>
    <t>mês 7</t>
  </si>
  <si>
    <t>mês 8</t>
  </si>
  <si>
    <t>mês 9</t>
  </si>
  <si>
    <t>mês 10</t>
  </si>
  <si>
    <t>mês 11</t>
  </si>
  <si>
    <t>mês 12</t>
  </si>
  <si>
    <t>ano 2</t>
  </si>
  <si>
    <t>ano 3</t>
  </si>
  <si>
    <t>ano 4</t>
  </si>
  <si>
    <t>ano 5</t>
  </si>
  <si>
    <t>banca</t>
  </si>
  <si>
    <t>lucroMes</t>
  </si>
  <si>
    <t>Mês 1</t>
  </si>
  <si>
    <t>Mês 2</t>
  </si>
  <si>
    <t>Mês 3</t>
  </si>
  <si>
    <t>Mês 4</t>
  </si>
  <si>
    <t>Mês 5</t>
  </si>
  <si>
    <t>Mês 6</t>
  </si>
  <si>
    <t>Mês 7</t>
  </si>
  <si>
    <t>Mês 8</t>
  </si>
  <si>
    <t>Mês 9</t>
  </si>
  <si>
    <t>Mês 10</t>
  </si>
  <si>
    <t>Mês 11</t>
  </si>
  <si>
    <t>Mês 12</t>
  </si>
  <si>
    <t>CapitalEmpresa</t>
  </si>
  <si>
    <t>Afiliados</t>
  </si>
  <si>
    <t>Total</t>
  </si>
  <si>
    <t>MÊS</t>
  </si>
  <si>
    <t>%ano</t>
  </si>
  <si>
    <t>ANO</t>
  </si>
  <si>
    <t>AFILIADO</t>
  </si>
  <si>
    <t>Ano</t>
  </si>
  <si>
    <t>ODDS IGUAIS</t>
  </si>
  <si>
    <t>TEMPO</t>
  </si>
  <si>
    <t>UNDER</t>
  </si>
  <si>
    <t>UNDER LIMITE</t>
  </si>
  <si>
    <t>UNDER 1GOL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</si>
</sst>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C000"/>
      </left>
      <right/>
      <top style="thin">
        <color rgb="FFFFC000"/>
      </top>
      <bottom style="thin">
        <color rgb="FFFFC000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7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 applyAlignment="1">
      <alignment horizontal="center"/>
    </xf>
    <xf numFmtId="9" fontId="0" fillId="0" borderId="0" xfId="0" applyNumberFormat="1" applyAlignment="1">
      <alignment horizontal="center"/>
    </xf>
    <xf numFmtId="44" fontId="0" fillId="2" borderId="0" xfId="1" applyFont="1" applyFill="1" applyAlignment="1">
      <alignment horizontal="center"/>
    </xf>
    <xf numFmtId="4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2" applyFont="1" applyAlignment="1">
      <alignment horizontal="center"/>
    </xf>
    <xf numFmtId="9" fontId="0" fillId="0" borderId="0" xfId="0" applyNumberFormat="1" applyFont="1" applyAlignment="1">
      <alignment horizontal="center"/>
    </xf>
    <xf numFmtId="0" fontId="0" fillId="0" borderId="0" xfId="0" applyAlignment="1"/>
    <xf numFmtId="44" fontId="0" fillId="0" borderId="0" xfId="0" applyNumberFormat="1"/>
    <xf numFmtId="9" fontId="0" fillId="3" borderId="0" xfId="2" applyFont="1" applyFill="1"/>
    <xf numFmtId="0" fontId="0" fillId="0" borderId="1" xfId="0" applyBorder="1" applyAlignment="1">
      <alignment horizontal="center"/>
    </xf>
    <xf numFmtId="44" fontId="0" fillId="0" borderId="1" xfId="0" applyNumberFormat="1" applyBorder="1" applyAlignment="1">
      <alignment horizontal="center"/>
    </xf>
    <xf numFmtId="44" fontId="0" fillId="0" borderId="1" xfId="0" applyNumberFormat="1" applyFill="1" applyBorder="1" applyAlignment="1">
      <alignment horizontal="center"/>
    </xf>
    <xf numFmtId="44" fontId="1" fillId="0" borderId="1" xfId="1" applyFont="1" applyFill="1" applyBorder="1" applyAlignment="1">
      <alignment horizontal="center"/>
    </xf>
    <xf numFmtId="164" fontId="0" fillId="0" borderId="1" xfId="2" applyNumberFormat="1" applyFont="1" applyBorder="1" applyAlignment="1">
      <alignment horizontal="center"/>
    </xf>
    <xf numFmtId="9" fontId="0" fillId="0" borderId="1" xfId="2" applyFont="1" applyBorder="1" applyAlignment="1">
      <alignment horizontal="center"/>
    </xf>
    <xf numFmtId="164" fontId="0" fillId="0" borderId="0" xfId="2" applyNumberFormat="1" applyFont="1"/>
    <xf numFmtId="9" fontId="2" fillId="3" borderId="0" xfId="2" applyFont="1" applyFill="1"/>
    <xf numFmtId="164" fontId="0" fillId="0" borderId="0" xfId="0" applyNumberFormat="1"/>
    <xf numFmtId="44" fontId="0" fillId="0" borderId="0" xfId="1" applyFont="1"/>
    <xf numFmtId="44" fontId="0" fillId="0" borderId="0" xfId="1" applyFont="1" applyFill="1" applyBorder="1"/>
    <xf numFmtId="44" fontId="0" fillId="0" borderId="0" xfId="0" applyNumberFormat="1" applyFill="1" applyBorder="1"/>
    <xf numFmtId="44" fontId="1" fillId="0" borderId="0" xfId="1" applyFont="1" applyFill="1" applyBorder="1"/>
    <xf numFmtId="44" fontId="0" fillId="0" borderId="0" xfId="1" applyFont="1" applyFill="1" applyBorder="1" applyAlignment="1"/>
    <xf numFmtId="164" fontId="0" fillId="0" borderId="0" xfId="2" applyNumberFormat="1" applyFont="1" applyFill="1" applyBorder="1"/>
    <xf numFmtId="10" fontId="0" fillId="0" borderId="0" xfId="2" applyNumberFormat="1" applyFont="1" applyFill="1" applyBorder="1"/>
    <xf numFmtId="9" fontId="0" fillId="0" borderId="0" xfId="0" applyNumberFormat="1" applyFill="1" applyBorder="1"/>
    <xf numFmtId="44" fontId="0" fillId="0" borderId="0" xfId="0" applyNumberFormat="1" applyFill="1" applyAlignment="1">
      <alignment horizontal="right"/>
    </xf>
    <xf numFmtId="0" fontId="0" fillId="0" borderId="0" xfId="0" applyFill="1"/>
    <xf numFmtId="44" fontId="0" fillId="0" borderId="0" xfId="0" applyNumberFormat="1" applyFill="1"/>
    <xf numFmtId="164" fontId="0" fillId="0" borderId="0" xfId="2" applyNumberFormat="1" applyFont="1" applyFill="1" applyBorder="1" applyAlignment="1">
      <alignment horizontal="left"/>
    </xf>
    <xf numFmtId="44" fontId="0" fillId="0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5" borderId="1" xfId="0" applyNumberFormat="1" applyFill="1" applyBorder="1" applyAlignment="1"/>
    <xf numFmtId="2" fontId="0" fillId="6" borderId="1" xfId="0" applyNumberFormat="1" applyFill="1" applyBorder="1" applyAlignment="1"/>
    <xf numFmtId="2" fontId="0" fillId="5" borderId="1" xfId="0" applyNumberFormat="1" applyFill="1" applyBorder="1"/>
    <xf numFmtId="2" fontId="0" fillId="6" borderId="1" xfId="0" applyNumberFormat="1" applyFill="1" applyBorder="1"/>
    <xf numFmtId="2" fontId="0" fillId="4" borderId="1" xfId="0" applyNumberFormat="1" applyFill="1" applyBorder="1"/>
    <xf numFmtId="2" fontId="0" fillId="4" borderId="2" xfId="0" applyNumberFormat="1" applyFill="1" applyBorder="1" applyAlignment="1"/>
    <xf numFmtId="2" fontId="0" fillId="4" borderId="2" xfId="0" applyNumberFormat="1" applyFill="1" applyBorder="1"/>
    <xf numFmtId="2" fontId="0" fillId="5" borderId="5" xfId="0" applyNumberFormat="1" applyFill="1" applyBorder="1" applyAlignment="1"/>
    <xf numFmtId="0" fontId="0" fillId="0" borderId="5" xfId="0" applyNumberFormat="1" applyBorder="1"/>
    <xf numFmtId="2" fontId="0" fillId="6" borderId="7" xfId="0" applyNumberFormat="1" applyFill="1" applyBorder="1" applyAlignment="1"/>
    <xf numFmtId="0" fontId="0" fillId="0" borderId="7" xfId="0" applyNumberFormat="1" applyBorder="1"/>
    <xf numFmtId="2" fontId="0" fillId="4" borderId="6" xfId="0" applyNumberFormat="1" applyFill="1" applyBorder="1" applyAlignment="1"/>
    <xf numFmtId="0" fontId="0" fillId="0" borderId="6" xfId="0" applyNumberFormat="1" applyBorder="1"/>
  </cellXfs>
  <cellStyles count="3">
    <cellStyle name="Moeda" xfId="1" builtinId="4"/>
    <cellStyle name="Normal" xfId="0" builtinId="0"/>
    <cellStyle name="Porcentagem" xfId="2" builtinId="5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7.9805759887611946E-2"/>
                  <c:y val="-0.3867997229512977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GRAFICOS!$H$1:$H$19</c:f>
              <c:numCache>
                <c:formatCode>General</c:formatCode>
                <c:ptCount val="19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</c:numCache>
            </c:numRef>
          </c:xVal>
          <c:yVal>
            <c:numRef>
              <c:f>GRAFICOS!$I$1:$I$19</c:f>
              <c:numCache>
                <c:formatCode>0.00</c:formatCode>
                <c:ptCount val="19"/>
                <c:pt idx="7">
                  <c:v>1.6</c:v>
                </c:pt>
                <c:pt idx="8">
                  <c:v>1.53</c:v>
                </c:pt>
                <c:pt idx="9">
                  <c:v>1.41</c:v>
                </c:pt>
                <c:pt idx="10">
                  <c:v>1.34</c:v>
                </c:pt>
                <c:pt idx="11">
                  <c:v>1.27</c:v>
                </c:pt>
                <c:pt idx="12">
                  <c:v>1.18</c:v>
                </c:pt>
                <c:pt idx="13">
                  <c:v>1.1599999999999999</c:v>
                </c:pt>
                <c:pt idx="14">
                  <c:v>1.0900000000000001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15-4C02-A29B-FF13E04EB0F9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2"/>
                </a:solidFill>
                <a:prstDash val="sysDash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8.5437579045020848E-2"/>
                  <c:y val="-0.211940799066783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GRAFICOS!$H$1:$H$19</c:f>
              <c:numCache>
                <c:formatCode>General</c:formatCode>
                <c:ptCount val="19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</c:numCache>
            </c:numRef>
          </c:xVal>
          <c:yVal>
            <c:numRef>
              <c:f>GRAFICOS!$J$1:$J$19</c:f>
              <c:numCache>
                <c:formatCode>0.00</c:formatCode>
                <c:ptCount val="19"/>
                <c:pt idx="4">
                  <c:v>1.8</c:v>
                </c:pt>
                <c:pt idx="5">
                  <c:v>1.72</c:v>
                </c:pt>
                <c:pt idx="6">
                  <c:v>1.61</c:v>
                </c:pt>
                <c:pt idx="7">
                  <c:v>1.52</c:v>
                </c:pt>
                <c:pt idx="8">
                  <c:v>1.47</c:v>
                </c:pt>
                <c:pt idx="9">
                  <c:v>1.37</c:v>
                </c:pt>
                <c:pt idx="10">
                  <c:v>1.38</c:v>
                </c:pt>
                <c:pt idx="11">
                  <c:v>1.33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515-4C02-A29B-FF13E04EB0F9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3"/>
                </a:solidFill>
                <a:prstDash val="sysDash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8.5437579045020848E-2"/>
                  <c:y val="-0.347218576844561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GRAFICOS!$H$1:$H$19</c:f>
              <c:numCache>
                <c:formatCode>General</c:formatCode>
                <c:ptCount val="19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</c:numCache>
            </c:numRef>
          </c:xVal>
          <c:yVal>
            <c:numRef>
              <c:f>GRAFICOS!$K$1:$K$19</c:f>
              <c:numCache>
                <c:formatCode>0.00</c:formatCode>
                <c:ptCount val="19"/>
                <c:pt idx="1">
                  <c:v>2.66</c:v>
                </c:pt>
                <c:pt idx="2">
                  <c:v>2.42</c:v>
                </c:pt>
                <c:pt idx="3">
                  <c:v>2.2999999999999998</c:v>
                </c:pt>
                <c:pt idx="4">
                  <c:v>2.14</c:v>
                </c:pt>
                <c:pt idx="5">
                  <c:v>2</c:v>
                </c:pt>
                <c:pt idx="6">
                  <c:v>1.79</c:v>
                </c:pt>
                <c:pt idx="7">
                  <c:v>1.68</c:v>
                </c:pt>
                <c:pt idx="8">
                  <c:v>1.58</c:v>
                </c:pt>
                <c:pt idx="9">
                  <c:v>1.45</c:v>
                </c:pt>
                <c:pt idx="10">
                  <c:v>1.34</c:v>
                </c:pt>
                <c:pt idx="11">
                  <c:v>1.27</c:v>
                </c:pt>
                <c:pt idx="12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515-4C02-A29B-FF13E04EB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15616"/>
        <c:axId val="279813120"/>
      </c:scatterChart>
      <c:valAx>
        <c:axId val="279815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9813120"/>
        <c:crosses val="autoZero"/>
        <c:crossBetween val="midCat"/>
      </c:valAx>
      <c:valAx>
        <c:axId val="27981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9815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10</xdr:row>
          <xdr:rowOff>9525</xdr:rowOff>
        </xdr:from>
        <xdr:to>
          <xdr:col>6</xdr:col>
          <xdr:colOff>752475</xdr:colOff>
          <xdr:row>11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109538</xdr:colOff>
      <xdr:row>1</xdr:row>
      <xdr:rowOff>9525</xdr:rowOff>
    </xdr:from>
    <xdr:to>
      <xdr:col>6</xdr:col>
      <xdr:colOff>962026</xdr:colOff>
      <xdr:row>15</xdr:row>
      <xdr:rowOff>85725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H1204"/>
  <sheetViews>
    <sheetView zoomScale="175" zoomScaleNormal="175" workbookViewId="0">
      <selection activeCell="E3" sqref="E3"/>
    </sheetView>
  </sheetViews>
  <sheetFormatPr defaultRowHeight="15" x14ac:dyDescent="0.25"/>
  <cols>
    <col min="1" max="1" width="14.5703125" style="1" bestFit="1" customWidth="1"/>
    <col min="2" max="2" width="14.7109375" style="1" bestFit="1" customWidth="1"/>
    <col min="3" max="3" width="12.28515625" style="1" customWidth="1"/>
    <col min="4" max="4" width="14.5703125" style="1" bestFit="1" customWidth="1"/>
    <col min="5" max="5" width="12.28515625" style="1" bestFit="1" customWidth="1"/>
    <col min="6" max="6" width="11.28515625" style="1" bestFit="1" customWidth="1"/>
    <col min="7" max="7" width="18.42578125" style="1" bestFit="1" customWidth="1"/>
    <col min="8" max="16384" width="9.140625" style="1"/>
  </cols>
  <sheetData>
    <row r="1" spans="1:8" x14ac:dyDescent="0.25">
      <c r="A1" s="1" t="s">
        <v>678</v>
      </c>
      <c r="B1" s="1" t="s">
        <v>679</v>
      </c>
      <c r="C1" s="1" t="s">
        <v>680</v>
      </c>
      <c r="D1" s="1" t="s">
        <v>681</v>
      </c>
      <c r="E1" s="1" t="s">
        <v>0</v>
      </c>
      <c r="F1" s="1" t="s">
        <v>1206</v>
      </c>
      <c r="G1" s="1" t="s">
        <v>1207</v>
      </c>
      <c r="H1" s="1" t="s">
        <v>1208</v>
      </c>
    </row>
    <row r="2" spans="1:8" x14ac:dyDescent="0.25">
      <c r="A2" s="2">
        <f>Afiliados!H2</f>
        <v>4000</v>
      </c>
      <c r="B2" s="3">
        <v>0.15</v>
      </c>
      <c r="C2" s="9">
        <v>0.02</v>
      </c>
      <c r="D2" s="4">
        <f>A2*C2</f>
        <v>80</v>
      </c>
      <c r="E2" s="1">
        <v>2</v>
      </c>
      <c r="F2" s="8">
        <v>0.2</v>
      </c>
      <c r="G2" s="8">
        <v>0.75</v>
      </c>
      <c r="H2" s="1">
        <f>E2*30</f>
        <v>60</v>
      </c>
    </row>
    <row r="3" spans="1:8" x14ac:dyDescent="0.25">
      <c r="B3" s="2" t="str">
        <f>"R$"&amp;B2*A2*C2*E2&amp;"/dia"</f>
        <v>R$24/dia</v>
      </c>
    </row>
    <row r="4" spans="1:8" x14ac:dyDescent="0.25">
      <c r="A4" s="6" t="s">
        <v>1</v>
      </c>
      <c r="B4" s="5">
        <f>A2+D2*$B$2*$E$2</f>
        <v>4024</v>
      </c>
      <c r="C4" s="5">
        <f>B4*$C$2</f>
        <v>80.48</v>
      </c>
      <c r="D4" s="5">
        <f>C4*$B$2*$E$2</f>
        <v>24.144000000000002</v>
      </c>
      <c r="E4" s="5" t="s">
        <v>1</v>
      </c>
      <c r="F4" s="13" t="s">
        <v>1207</v>
      </c>
      <c r="G4" s="14">
        <f>A2*C2*B2*H2*G2</f>
        <v>540</v>
      </c>
    </row>
    <row r="5" spans="1:8" x14ac:dyDescent="0.25">
      <c r="A5" s="6" t="s">
        <v>2</v>
      </c>
      <c r="B5" s="5">
        <f>B4+D4</f>
        <v>4048.1439999999998</v>
      </c>
      <c r="C5" s="5">
        <f>B5*$C$2</f>
        <v>80.962879999999998</v>
      </c>
      <c r="D5" s="5">
        <f>C5*$B$2*$E$2</f>
        <v>24.288864</v>
      </c>
      <c r="E5" s="5" t="s">
        <v>2</v>
      </c>
      <c r="F5" s="15" t="s">
        <v>1209</v>
      </c>
      <c r="G5" s="16">
        <f>A2*C2*F2*H2*(1-G2)</f>
        <v>240</v>
      </c>
      <c r="H5" s="7"/>
    </row>
    <row r="6" spans="1:8" x14ac:dyDescent="0.25">
      <c r="A6" s="6" t="s">
        <v>3</v>
      </c>
      <c r="B6" s="5">
        <f>B5+D5</f>
        <v>4072.4328639999999</v>
      </c>
      <c r="C6" s="5">
        <f>B6*$C$2</f>
        <v>81.448657280000006</v>
      </c>
      <c r="D6" s="5">
        <f t="shared" ref="D6:D69" si="0">C6*$B$2*$E$2</f>
        <v>24.434597184000001</v>
      </c>
      <c r="E6" s="5" t="s">
        <v>3</v>
      </c>
      <c r="F6" s="13" t="s">
        <v>1210</v>
      </c>
      <c r="G6" s="14">
        <f>G4-G5</f>
        <v>300</v>
      </c>
      <c r="H6" s="17">
        <f>G6/A2</f>
        <v>7.4999999999999997E-2</v>
      </c>
    </row>
    <row r="7" spans="1:8" x14ac:dyDescent="0.25">
      <c r="A7" s="6" t="s">
        <v>4</v>
      </c>
      <c r="B7" s="5">
        <f>B6+D6</f>
        <v>4096.8674611839997</v>
      </c>
      <c r="C7" s="5">
        <f>B7*$C$2</f>
        <v>81.937349223680002</v>
      </c>
      <c r="D7" s="5">
        <f>C7*$B$2*$E$2</f>
        <v>24.581204767104001</v>
      </c>
      <c r="E7" s="5" t="s">
        <v>4</v>
      </c>
      <c r="F7" s="13" t="s">
        <v>1251</v>
      </c>
      <c r="G7" s="14">
        <f>'com reds'!E13</f>
        <v>9527.1183961063798</v>
      </c>
      <c r="H7" s="18">
        <f>G7/A2</f>
        <v>2.3817795990265949</v>
      </c>
    </row>
    <row r="8" spans="1:8" x14ac:dyDescent="0.25">
      <c r="A8" s="6" t="s">
        <v>5</v>
      </c>
      <c r="B8" s="5">
        <f>B7+D7</f>
        <v>4121.448665951104</v>
      </c>
      <c r="C8" s="5">
        <f>B8*$C$2</f>
        <v>82.428973319022077</v>
      </c>
      <c r="D8" s="5">
        <f t="shared" si="0"/>
        <v>24.728691995706622</v>
      </c>
      <c r="E8" s="5" t="s">
        <v>5</v>
      </c>
      <c r="G8" s="5"/>
      <c r="H8" s="8"/>
    </row>
    <row r="9" spans="1:8" x14ac:dyDescent="0.25">
      <c r="A9" s="6" t="s">
        <v>6</v>
      </c>
      <c r="B9" s="5">
        <f t="shared" ref="B9:B72" si="1">B8+D8</f>
        <v>4146.1773579468108</v>
      </c>
      <c r="C9" s="5">
        <f t="shared" ref="C9:C72" si="2">B9*$C$2</f>
        <v>82.923547158936216</v>
      </c>
      <c r="D9" s="5">
        <f t="shared" si="0"/>
        <v>24.877064147680866</v>
      </c>
      <c r="E9" s="5" t="s">
        <v>6</v>
      </c>
    </row>
    <row r="10" spans="1:8" x14ac:dyDescent="0.25">
      <c r="A10" s="6" t="s">
        <v>7</v>
      </c>
      <c r="B10" s="5">
        <f t="shared" si="1"/>
        <v>4171.0544220944921</v>
      </c>
      <c r="C10" s="5">
        <f t="shared" si="2"/>
        <v>83.42108844188985</v>
      </c>
      <c r="D10" s="5">
        <f t="shared" si="0"/>
        <v>25.026326532566955</v>
      </c>
      <c r="E10" s="5" t="s">
        <v>7</v>
      </c>
    </row>
    <row r="11" spans="1:8" x14ac:dyDescent="0.25">
      <c r="A11" s="6" t="s">
        <v>8</v>
      </c>
      <c r="B11" s="5">
        <f t="shared" si="1"/>
        <v>4196.0807486270587</v>
      </c>
      <c r="C11" s="5">
        <f t="shared" si="2"/>
        <v>83.921614972541178</v>
      </c>
      <c r="D11" s="5">
        <f t="shared" si="0"/>
        <v>25.176484491762352</v>
      </c>
      <c r="E11" s="5" t="s">
        <v>8</v>
      </c>
    </row>
    <row r="12" spans="1:8" x14ac:dyDescent="0.25">
      <c r="A12" s="6" t="s">
        <v>9</v>
      </c>
      <c r="B12" s="5">
        <f t="shared" si="1"/>
        <v>4221.2572331188212</v>
      </c>
      <c r="C12" s="5">
        <f t="shared" si="2"/>
        <v>84.425144662376425</v>
      </c>
      <c r="D12" s="5">
        <f t="shared" si="0"/>
        <v>25.327543398712926</v>
      </c>
      <c r="E12" s="5" t="s">
        <v>9</v>
      </c>
    </row>
    <row r="13" spans="1:8" x14ac:dyDescent="0.25">
      <c r="A13" s="6" t="s">
        <v>10</v>
      </c>
      <c r="B13" s="5">
        <f t="shared" si="1"/>
        <v>4246.584776517534</v>
      </c>
      <c r="C13" s="5">
        <f t="shared" si="2"/>
        <v>84.93169553035068</v>
      </c>
      <c r="D13" s="5">
        <f t="shared" si="0"/>
        <v>25.479508659105203</v>
      </c>
      <c r="E13" s="5" t="s">
        <v>10</v>
      </c>
    </row>
    <row r="14" spans="1:8" x14ac:dyDescent="0.25">
      <c r="A14" s="6" t="s">
        <v>11</v>
      </c>
      <c r="B14" s="5">
        <f t="shared" si="1"/>
        <v>4272.0642851766388</v>
      </c>
      <c r="C14" s="5">
        <f t="shared" si="2"/>
        <v>85.441285703532785</v>
      </c>
      <c r="D14" s="5">
        <f t="shared" si="0"/>
        <v>25.632385711059836</v>
      </c>
      <c r="E14" s="5" t="s">
        <v>11</v>
      </c>
    </row>
    <row r="15" spans="1:8" x14ac:dyDescent="0.25">
      <c r="A15" s="6" t="s">
        <v>12</v>
      </c>
      <c r="B15" s="5">
        <f t="shared" si="1"/>
        <v>4297.6966708876989</v>
      </c>
      <c r="C15" s="5">
        <f t="shared" si="2"/>
        <v>85.953933417753987</v>
      </c>
      <c r="D15" s="5">
        <f t="shared" si="0"/>
        <v>25.786180025326196</v>
      </c>
      <c r="E15" s="5" t="s">
        <v>12</v>
      </c>
    </row>
    <row r="16" spans="1:8" x14ac:dyDescent="0.25">
      <c r="A16" s="6" t="s">
        <v>13</v>
      </c>
      <c r="B16" s="5">
        <f t="shared" si="1"/>
        <v>4323.4828509130248</v>
      </c>
      <c r="C16" s="5">
        <f t="shared" si="2"/>
        <v>86.469657018260492</v>
      </c>
      <c r="D16" s="5">
        <f t="shared" si="0"/>
        <v>25.940897105478147</v>
      </c>
      <c r="E16" s="5" t="s">
        <v>13</v>
      </c>
    </row>
    <row r="17" spans="1:5" x14ac:dyDescent="0.25">
      <c r="A17" s="6" t="s">
        <v>14</v>
      </c>
      <c r="B17" s="5">
        <f t="shared" si="1"/>
        <v>4349.4237480185029</v>
      </c>
      <c r="C17" s="5">
        <f t="shared" si="2"/>
        <v>86.988474960370056</v>
      </c>
      <c r="D17" s="5">
        <f t="shared" si="0"/>
        <v>26.096542488111016</v>
      </c>
      <c r="E17" s="5" t="s">
        <v>14</v>
      </c>
    </row>
    <row r="18" spans="1:5" x14ac:dyDescent="0.25">
      <c r="A18" s="6" t="s">
        <v>15</v>
      </c>
      <c r="B18" s="5">
        <f t="shared" si="1"/>
        <v>4375.5202905066135</v>
      </c>
      <c r="C18" s="5">
        <f t="shared" si="2"/>
        <v>87.510405810132269</v>
      </c>
      <c r="D18" s="5">
        <f t="shared" si="0"/>
        <v>26.253121743039681</v>
      </c>
      <c r="E18" s="5" t="s">
        <v>15</v>
      </c>
    </row>
    <row r="19" spans="1:5" x14ac:dyDescent="0.25">
      <c r="A19" s="6" t="s">
        <v>16</v>
      </c>
      <c r="B19" s="5">
        <f t="shared" si="1"/>
        <v>4401.7734122496531</v>
      </c>
      <c r="C19" s="5">
        <f t="shared" si="2"/>
        <v>88.035468244993069</v>
      </c>
      <c r="D19" s="5">
        <f t="shared" si="0"/>
        <v>26.410640473497921</v>
      </c>
      <c r="E19" s="5" t="s">
        <v>16</v>
      </c>
    </row>
    <row r="20" spans="1:5" x14ac:dyDescent="0.25">
      <c r="A20" s="6" t="s">
        <v>17</v>
      </c>
      <c r="B20" s="5">
        <f t="shared" si="1"/>
        <v>4428.1840527231507</v>
      </c>
      <c r="C20" s="5">
        <f t="shared" si="2"/>
        <v>88.563681054463018</v>
      </c>
      <c r="D20" s="5">
        <f t="shared" si="0"/>
        <v>26.569104316338905</v>
      </c>
      <c r="E20" s="5" t="s">
        <v>17</v>
      </c>
    </row>
    <row r="21" spans="1:5" x14ac:dyDescent="0.25">
      <c r="A21" s="6" t="s">
        <v>18</v>
      </c>
      <c r="B21" s="5">
        <f t="shared" si="1"/>
        <v>4454.7531570394895</v>
      </c>
      <c r="C21" s="5">
        <f t="shared" si="2"/>
        <v>89.09506314078979</v>
      </c>
      <c r="D21" s="5">
        <f t="shared" si="0"/>
        <v>26.728518942236935</v>
      </c>
      <c r="E21" s="5" t="s">
        <v>18</v>
      </c>
    </row>
    <row r="22" spans="1:5" x14ac:dyDescent="0.25">
      <c r="A22" s="6" t="s">
        <v>19</v>
      </c>
      <c r="B22" s="5">
        <f t="shared" si="1"/>
        <v>4481.4816759817268</v>
      </c>
      <c r="C22" s="5">
        <f t="shared" si="2"/>
        <v>89.629633519634538</v>
      </c>
      <c r="D22" s="5">
        <f t="shared" si="0"/>
        <v>26.888890055890361</v>
      </c>
      <c r="E22" s="5" t="s">
        <v>19</v>
      </c>
    </row>
    <row r="23" spans="1:5" x14ac:dyDescent="0.25">
      <c r="A23" s="6" t="s">
        <v>20</v>
      </c>
      <c r="B23" s="5">
        <f t="shared" si="1"/>
        <v>4508.3705660376172</v>
      </c>
      <c r="C23" s="5">
        <f t="shared" si="2"/>
        <v>90.16741132075235</v>
      </c>
      <c r="D23" s="5">
        <f t="shared" si="0"/>
        <v>27.050223396225704</v>
      </c>
      <c r="E23" s="5" t="s">
        <v>20</v>
      </c>
    </row>
    <row r="24" spans="1:5" x14ac:dyDescent="0.25">
      <c r="A24" s="6" t="s">
        <v>21</v>
      </c>
      <c r="B24" s="5">
        <f t="shared" si="1"/>
        <v>4535.4207894338433</v>
      </c>
      <c r="C24" s="5">
        <f t="shared" si="2"/>
        <v>90.708415788676874</v>
      </c>
      <c r="D24" s="5">
        <f t="shared" si="0"/>
        <v>27.212524736603061</v>
      </c>
      <c r="E24" s="5" t="s">
        <v>21</v>
      </c>
    </row>
    <row r="25" spans="1:5" x14ac:dyDescent="0.25">
      <c r="A25" s="6" t="s">
        <v>22</v>
      </c>
      <c r="B25" s="5">
        <f t="shared" si="1"/>
        <v>4562.6333141704463</v>
      </c>
      <c r="C25" s="5">
        <f t="shared" si="2"/>
        <v>91.252666283408928</v>
      </c>
      <c r="D25" s="5">
        <f t="shared" si="0"/>
        <v>27.375799885022676</v>
      </c>
      <c r="E25" s="5" t="s">
        <v>22</v>
      </c>
    </row>
    <row r="26" spans="1:5" x14ac:dyDescent="0.25">
      <c r="A26" s="6" t="s">
        <v>23</v>
      </c>
      <c r="B26" s="5">
        <f t="shared" si="1"/>
        <v>4590.0091140554687</v>
      </c>
      <c r="C26" s="5">
        <f t="shared" si="2"/>
        <v>91.800182281109372</v>
      </c>
      <c r="D26" s="5">
        <f t="shared" si="0"/>
        <v>27.540054684332812</v>
      </c>
      <c r="E26" s="5" t="s">
        <v>23</v>
      </c>
    </row>
    <row r="27" spans="1:5" x14ac:dyDescent="0.25">
      <c r="A27" s="6" t="s">
        <v>24</v>
      </c>
      <c r="B27" s="5">
        <f t="shared" si="1"/>
        <v>4617.5491687398016</v>
      </c>
      <c r="C27" s="5">
        <f t="shared" si="2"/>
        <v>92.35098337479603</v>
      </c>
      <c r="D27" s="5">
        <f t="shared" si="0"/>
        <v>27.705295012438807</v>
      </c>
      <c r="E27" s="5" t="s">
        <v>24</v>
      </c>
    </row>
    <row r="28" spans="1:5" x14ac:dyDescent="0.25">
      <c r="A28" s="6" t="s">
        <v>25</v>
      </c>
      <c r="B28" s="5">
        <f t="shared" si="1"/>
        <v>4645.2544637522406</v>
      </c>
      <c r="C28" s="5">
        <f t="shared" si="2"/>
        <v>92.905089275044816</v>
      </c>
      <c r="D28" s="5">
        <f t="shared" si="0"/>
        <v>27.871526782513445</v>
      </c>
      <c r="E28" s="5" t="s">
        <v>25</v>
      </c>
    </row>
    <row r="29" spans="1:5" x14ac:dyDescent="0.25">
      <c r="A29" s="6" t="s">
        <v>26</v>
      </c>
      <c r="B29" s="5">
        <f t="shared" si="1"/>
        <v>4673.1259905347542</v>
      </c>
      <c r="C29" s="5">
        <f t="shared" si="2"/>
        <v>93.462519810695085</v>
      </c>
      <c r="D29" s="5">
        <f t="shared" si="0"/>
        <v>28.038755943208525</v>
      </c>
      <c r="E29" s="5" t="s">
        <v>26</v>
      </c>
    </row>
    <row r="30" spans="1:5" x14ac:dyDescent="0.25">
      <c r="A30" s="6" t="s">
        <v>27</v>
      </c>
      <c r="B30" s="5">
        <f t="shared" si="1"/>
        <v>4701.1647464779626</v>
      </c>
      <c r="C30" s="5">
        <f t="shared" si="2"/>
        <v>94.023294929559256</v>
      </c>
      <c r="D30" s="5">
        <f t="shared" si="0"/>
        <v>28.206988478867775</v>
      </c>
      <c r="E30" s="5" t="s">
        <v>27</v>
      </c>
    </row>
    <row r="31" spans="1:5" x14ac:dyDescent="0.25">
      <c r="A31" s="6" t="s">
        <v>28</v>
      </c>
      <c r="B31" s="5">
        <f t="shared" si="1"/>
        <v>4729.3717349568306</v>
      </c>
      <c r="C31" s="5">
        <f t="shared" si="2"/>
        <v>94.587434699136608</v>
      </c>
      <c r="D31" s="5">
        <f t="shared" si="0"/>
        <v>28.37623040974098</v>
      </c>
      <c r="E31" s="5" t="s">
        <v>28</v>
      </c>
    </row>
    <row r="32" spans="1:5" x14ac:dyDescent="0.25">
      <c r="A32" s="6" t="s">
        <v>29</v>
      </c>
      <c r="B32" s="5">
        <f t="shared" si="1"/>
        <v>4757.7479653665714</v>
      </c>
      <c r="C32" s="5">
        <f t="shared" si="2"/>
        <v>95.154959307331424</v>
      </c>
      <c r="D32" s="5">
        <f t="shared" si="0"/>
        <v>28.546487792199425</v>
      </c>
      <c r="E32" s="5" t="s">
        <v>29</v>
      </c>
    </row>
    <row r="33" spans="1:5" x14ac:dyDescent="0.25">
      <c r="A33" s="6" t="s">
        <v>30</v>
      </c>
      <c r="B33" s="5">
        <f t="shared" si="1"/>
        <v>4786.2944531587709</v>
      </c>
      <c r="C33" s="5">
        <f t="shared" si="2"/>
        <v>95.725889063175416</v>
      </c>
      <c r="D33" s="5">
        <f t="shared" si="0"/>
        <v>28.717766718952625</v>
      </c>
      <c r="E33" s="5" t="s">
        <v>30</v>
      </c>
    </row>
    <row r="34" spans="1:5" x14ac:dyDescent="0.25">
      <c r="A34" s="6" t="s">
        <v>31</v>
      </c>
      <c r="B34" s="5">
        <f t="shared" si="1"/>
        <v>4815.0122198777235</v>
      </c>
      <c r="C34" s="5">
        <f t="shared" si="2"/>
        <v>96.300244397554479</v>
      </c>
      <c r="D34" s="5">
        <f t="shared" si="0"/>
        <v>28.890073319266342</v>
      </c>
      <c r="E34" s="5" t="s">
        <v>31</v>
      </c>
    </row>
    <row r="35" spans="1:5" x14ac:dyDescent="0.25">
      <c r="A35" s="6" t="s">
        <v>32</v>
      </c>
      <c r="B35" s="5">
        <f t="shared" si="1"/>
        <v>4843.9022931969903</v>
      </c>
      <c r="C35" s="5">
        <f t="shared" si="2"/>
        <v>96.878045863939803</v>
      </c>
      <c r="D35" s="5">
        <f t="shared" si="0"/>
        <v>29.063413759181941</v>
      </c>
      <c r="E35" s="5" t="s">
        <v>32</v>
      </c>
    </row>
    <row r="36" spans="1:5" x14ac:dyDescent="0.25">
      <c r="A36" s="6" t="s">
        <v>33</v>
      </c>
      <c r="B36" s="5">
        <f t="shared" si="1"/>
        <v>4872.9657069561727</v>
      </c>
      <c r="C36" s="5">
        <f t="shared" si="2"/>
        <v>97.45931413912345</v>
      </c>
      <c r="D36" s="5">
        <f t="shared" si="0"/>
        <v>29.237794241737035</v>
      </c>
      <c r="E36" s="5" t="s">
        <v>33</v>
      </c>
    </row>
    <row r="37" spans="1:5" x14ac:dyDescent="0.25">
      <c r="A37" s="6" t="s">
        <v>34</v>
      </c>
      <c r="B37" s="5">
        <f t="shared" si="1"/>
        <v>4902.2035011979096</v>
      </c>
      <c r="C37" s="5">
        <f t="shared" si="2"/>
        <v>98.044070023958199</v>
      </c>
      <c r="D37" s="5">
        <f t="shared" si="0"/>
        <v>29.41322100718746</v>
      </c>
      <c r="E37" s="5" t="s">
        <v>34</v>
      </c>
    </row>
    <row r="38" spans="1:5" x14ac:dyDescent="0.25">
      <c r="A38" s="6" t="s">
        <v>35</v>
      </c>
      <c r="B38" s="5">
        <f t="shared" si="1"/>
        <v>4931.6167222050972</v>
      </c>
      <c r="C38" s="5">
        <f t="shared" si="2"/>
        <v>98.632334444101943</v>
      </c>
      <c r="D38" s="5">
        <f t="shared" si="0"/>
        <v>29.589700333230581</v>
      </c>
      <c r="E38" s="5" t="s">
        <v>35</v>
      </c>
    </row>
    <row r="39" spans="1:5" x14ac:dyDescent="0.25">
      <c r="A39" s="6" t="s">
        <v>36</v>
      </c>
      <c r="B39" s="5">
        <f t="shared" si="1"/>
        <v>4961.2064225383274</v>
      </c>
      <c r="C39" s="5">
        <f t="shared" si="2"/>
        <v>99.224128450766557</v>
      </c>
      <c r="D39" s="5">
        <f t="shared" si="0"/>
        <v>29.767238535229964</v>
      </c>
      <c r="E39" s="5" t="s">
        <v>36</v>
      </c>
    </row>
    <row r="40" spans="1:5" x14ac:dyDescent="0.25">
      <c r="A40" s="6" t="s">
        <v>37</v>
      </c>
      <c r="B40" s="5">
        <f t="shared" si="1"/>
        <v>4990.9736610735572</v>
      </c>
      <c r="C40" s="5">
        <f t="shared" si="2"/>
        <v>99.819473221471142</v>
      </c>
      <c r="D40" s="5">
        <f t="shared" si="0"/>
        <v>29.945841966441343</v>
      </c>
      <c r="E40" s="5" t="s">
        <v>37</v>
      </c>
    </row>
    <row r="41" spans="1:5" x14ac:dyDescent="0.25">
      <c r="A41" s="6" t="s">
        <v>38</v>
      </c>
      <c r="B41" s="5">
        <f t="shared" si="1"/>
        <v>5020.9195030399987</v>
      </c>
      <c r="C41" s="5">
        <f t="shared" si="2"/>
        <v>100.41839006079998</v>
      </c>
      <c r="D41" s="5">
        <f t="shared" si="0"/>
        <v>30.125517018239993</v>
      </c>
      <c r="E41" s="5" t="s">
        <v>38</v>
      </c>
    </row>
    <row r="42" spans="1:5" x14ac:dyDescent="0.25">
      <c r="A42" s="6" t="s">
        <v>39</v>
      </c>
      <c r="B42" s="5">
        <f t="shared" si="1"/>
        <v>5051.0450200582391</v>
      </c>
      <c r="C42" s="5">
        <f t="shared" si="2"/>
        <v>101.02090040116478</v>
      </c>
      <c r="D42" s="5">
        <f t="shared" si="0"/>
        <v>30.306270120349431</v>
      </c>
      <c r="E42" s="5" t="s">
        <v>39</v>
      </c>
    </row>
    <row r="43" spans="1:5" x14ac:dyDescent="0.25">
      <c r="A43" s="6" t="s">
        <v>40</v>
      </c>
      <c r="B43" s="5">
        <f t="shared" si="1"/>
        <v>5081.3512901785889</v>
      </c>
      <c r="C43" s="5">
        <f t="shared" si="2"/>
        <v>101.62702580357178</v>
      </c>
      <c r="D43" s="5">
        <f t="shared" si="0"/>
        <v>30.488107741071534</v>
      </c>
      <c r="E43" s="5" t="s">
        <v>40</v>
      </c>
    </row>
    <row r="44" spans="1:5" x14ac:dyDescent="0.25">
      <c r="A44" s="6" t="s">
        <v>41</v>
      </c>
      <c r="B44" s="5">
        <f t="shared" si="1"/>
        <v>5111.8393979196608</v>
      </c>
      <c r="C44" s="5">
        <f t="shared" si="2"/>
        <v>102.23678795839322</v>
      </c>
      <c r="D44" s="5">
        <f t="shared" si="0"/>
        <v>30.671036387517965</v>
      </c>
      <c r="E44" s="5" t="s">
        <v>41</v>
      </c>
    </row>
    <row r="45" spans="1:5" x14ac:dyDescent="0.25">
      <c r="A45" s="6" t="s">
        <v>42</v>
      </c>
      <c r="B45" s="5">
        <f t="shared" si="1"/>
        <v>5142.5104343071789</v>
      </c>
      <c r="C45" s="5">
        <f t="shared" si="2"/>
        <v>102.85020868614357</v>
      </c>
      <c r="D45" s="5">
        <f t="shared" si="0"/>
        <v>30.85506260584307</v>
      </c>
      <c r="E45" s="5" t="s">
        <v>42</v>
      </c>
    </row>
    <row r="46" spans="1:5" x14ac:dyDescent="0.25">
      <c r="A46" s="6" t="s">
        <v>43</v>
      </c>
      <c r="B46" s="5">
        <f t="shared" si="1"/>
        <v>5173.3654969130221</v>
      </c>
      <c r="C46" s="5">
        <f t="shared" si="2"/>
        <v>103.46730993826044</v>
      </c>
      <c r="D46" s="5">
        <f t="shared" si="0"/>
        <v>31.040192981478132</v>
      </c>
      <c r="E46" s="5" t="s">
        <v>43</v>
      </c>
    </row>
    <row r="47" spans="1:5" x14ac:dyDescent="0.25">
      <c r="A47" s="6" t="s">
        <v>44</v>
      </c>
      <c r="B47" s="5">
        <f t="shared" si="1"/>
        <v>5204.4056898945</v>
      </c>
      <c r="C47" s="5">
        <f t="shared" si="2"/>
        <v>104.08811379789</v>
      </c>
      <c r="D47" s="5">
        <f t="shared" si="0"/>
        <v>31.226434139367001</v>
      </c>
      <c r="E47" s="5" t="s">
        <v>44</v>
      </c>
    </row>
    <row r="48" spans="1:5" x14ac:dyDescent="0.25">
      <c r="A48" s="6" t="s">
        <v>45</v>
      </c>
      <c r="B48" s="5">
        <f t="shared" si="1"/>
        <v>5235.6321240338666</v>
      </c>
      <c r="C48" s="5">
        <f t="shared" si="2"/>
        <v>104.71264248067733</v>
      </c>
      <c r="D48" s="5">
        <f t="shared" si="0"/>
        <v>31.413792744203199</v>
      </c>
      <c r="E48" s="5" t="s">
        <v>45</v>
      </c>
    </row>
    <row r="49" spans="1:5" x14ac:dyDescent="0.25">
      <c r="A49" s="6" t="s">
        <v>46</v>
      </c>
      <c r="B49" s="5">
        <f t="shared" si="1"/>
        <v>5267.04591677807</v>
      </c>
      <c r="C49" s="5">
        <f t="shared" si="2"/>
        <v>105.3409183355614</v>
      </c>
      <c r="D49" s="5">
        <f t="shared" si="0"/>
        <v>31.602275500668419</v>
      </c>
      <c r="E49" s="5" t="s">
        <v>46</v>
      </c>
    </row>
    <row r="50" spans="1:5" x14ac:dyDescent="0.25">
      <c r="A50" s="6" t="s">
        <v>47</v>
      </c>
      <c r="B50" s="5">
        <f t="shared" si="1"/>
        <v>5298.6481922787389</v>
      </c>
      <c r="C50" s="5">
        <f t="shared" si="2"/>
        <v>105.97296384557478</v>
      </c>
      <c r="D50" s="5">
        <f t="shared" si="0"/>
        <v>31.791889153672432</v>
      </c>
      <c r="E50" s="5" t="s">
        <v>47</v>
      </c>
    </row>
    <row r="51" spans="1:5" x14ac:dyDescent="0.25">
      <c r="A51" s="6" t="s">
        <v>48</v>
      </c>
      <c r="B51" s="5">
        <f t="shared" si="1"/>
        <v>5330.4400814324117</v>
      </c>
      <c r="C51" s="5">
        <f t="shared" si="2"/>
        <v>106.60880162864824</v>
      </c>
      <c r="D51" s="5">
        <f t="shared" si="0"/>
        <v>31.98264048859447</v>
      </c>
      <c r="E51" s="5" t="s">
        <v>48</v>
      </c>
    </row>
    <row r="52" spans="1:5" x14ac:dyDescent="0.25">
      <c r="A52" s="6" t="s">
        <v>49</v>
      </c>
      <c r="B52" s="5">
        <f t="shared" si="1"/>
        <v>5362.4227219210061</v>
      </c>
      <c r="C52" s="5">
        <f t="shared" si="2"/>
        <v>107.24845443842013</v>
      </c>
      <c r="D52" s="5">
        <f t="shared" si="0"/>
        <v>32.174536331526035</v>
      </c>
      <c r="E52" s="5" t="s">
        <v>49</v>
      </c>
    </row>
    <row r="53" spans="1:5" x14ac:dyDescent="0.25">
      <c r="A53" s="6" t="s">
        <v>50</v>
      </c>
      <c r="B53" s="5">
        <f t="shared" si="1"/>
        <v>5394.5972582525319</v>
      </c>
      <c r="C53" s="5">
        <f t="shared" si="2"/>
        <v>107.89194516505064</v>
      </c>
      <c r="D53" s="5">
        <f t="shared" si="0"/>
        <v>32.367583549515189</v>
      </c>
      <c r="E53" s="5" t="s">
        <v>50</v>
      </c>
    </row>
    <row r="54" spans="1:5" x14ac:dyDescent="0.25">
      <c r="A54" s="6" t="s">
        <v>51</v>
      </c>
      <c r="B54" s="5">
        <f t="shared" si="1"/>
        <v>5426.964841802047</v>
      </c>
      <c r="C54" s="5">
        <f t="shared" si="2"/>
        <v>108.53929683604095</v>
      </c>
      <c r="D54" s="5">
        <f t="shared" si="0"/>
        <v>32.56178905081228</v>
      </c>
      <c r="E54" s="5" t="s">
        <v>51</v>
      </c>
    </row>
    <row r="55" spans="1:5" x14ac:dyDescent="0.25">
      <c r="A55" s="6" t="s">
        <v>52</v>
      </c>
      <c r="B55" s="5">
        <f t="shared" si="1"/>
        <v>5459.5266308528589</v>
      </c>
      <c r="C55" s="5">
        <f t="shared" si="2"/>
        <v>109.19053261705719</v>
      </c>
      <c r="D55" s="5">
        <f t="shared" si="0"/>
        <v>32.757159785117153</v>
      </c>
      <c r="E55" s="5" t="s">
        <v>52</v>
      </c>
    </row>
    <row r="56" spans="1:5" x14ac:dyDescent="0.25">
      <c r="A56" s="6" t="s">
        <v>53</v>
      </c>
      <c r="B56" s="5">
        <f t="shared" si="1"/>
        <v>5492.2837906379764</v>
      </c>
      <c r="C56" s="5">
        <f t="shared" si="2"/>
        <v>109.84567581275952</v>
      </c>
      <c r="D56" s="5">
        <f t="shared" si="0"/>
        <v>32.953702743827854</v>
      </c>
      <c r="E56" s="5" t="s">
        <v>53</v>
      </c>
    </row>
    <row r="57" spans="1:5" x14ac:dyDescent="0.25">
      <c r="A57" s="6" t="s">
        <v>54</v>
      </c>
      <c r="B57" s="5">
        <f t="shared" si="1"/>
        <v>5525.2374933818046</v>
      </c>
      <c r="C57" s="5">
        <f t="shared" si="2"/>
        <v>110.50474986763609</v>
      </c>
      <c r="D57" s="5">
        <f t="shared" si="0"/>
        <v>33.151424960290825</v>
      </c>
      <c r="E57" s="5" t="s">
        <v>54</v>
      </c>
    </row>
    <row r="58" spans="1:5" x14ac:dyDescent="0.25">
      <c r="A58" s="6" t="s">
        <v>55</v>
      </c>
      <c r="B58" s="5">
        <f t="shared" si="1"/>
        <v>5558.3889183420952</v>
      </c>
      <c r="C58" s="5">
        <f t="shared" si="2"/>
        <v>111.1677783668419</v>
      </c>
      <c r="D58" s="5">
        <f t="shared" si="0"/>
        <v>33.350333510052572</v>
      </c>
      <c r="E58" s="5" t="s">
        <v>55</v>
      </c>
    </row>
    <row r="59" spans="1:5" x14ac:dyDescent="0.25">
      <c r="A59" s="6" t="s">
        <v>56</v>
      </c>
      <c r="B59" s="5">
        <f t="shared" si="1"/>
        <v>5591.7392518521474</v>
      </c>
      <c r="C59" s="5">
        <f t="shared" si="2"/>
        <v>111.83478503704295</v>
      </c>
      <c r="D59" s="5">
        <f t="shared" si="0"/>
        <v>33.55043551111288</v>
      </c>
      <c r="E59" s="5" t="s">
        <v>56</v>
      </c>
    </row>
    <row r="60" spans="1:5" x14ac:dyDescent="0.25">
      <c r="A60" s="6" t="s">
        <v>57</v>
      </c>
      <c r="B60" s="5">
        <f t="shared" si="1"/>
        <v>5625.2896873632599</v>
      </c>
      <c r="C60" s="5">
        <f t="shared" si="2"/>
        <v>112.5057937472652</v>
      </c>
      <c r="D60" s="5">
        <f t="shared" si="0"/>
        <v>33.75173812417956</v>
      </c>
      <c r="E60" s="5" t="s">
        <v>57</v>
      </c>
    </row>
    <row r="61" spans="1:5" x14ac:dyDescent="0.25">
      <c r="A61" s="6" t="s">
        <v>58</v>
      </c>
      <c r="B61" s="5">
        <f t="shared" si="1"/>
        <v>5659.0414254874395</v>
      </c>
      <c r="C61" s="5">
        <f t="shared" si="2"/>
        <v>113.18082850974879</v>
      </c>
      <c r="D61" s="5">
        <f t="shared" si="0"/>
        <v>33.954248552924639</v>
      </c>
      <c r="E61" s="5" t="s">
        <v>58</v>
      </c>
    </row>
    <row r="62" spans="1:5" x14ac:dyDescent="0.25">
      <c r="A62" s="6" t="s">
        <v>59</v>
      </c>
      <c r="B62" s="5">
        <f t="shared" si="1"/>
        <v>5692.9956740403641</v>
      </c>
      <c r="C62" s="5">
        <f t="shared" si="2"/>
        <v>113.85991348080728</v>
      </c>
      <c r="D62" s="5">
        <f t="shared" si="0"/>
        <v>34.157974044242181</v>
      </c>
      <c r="E62" s="5" t="s">
        <v>59</v>
      </c>
    </row>
    <row r="63" spans="1:5" x14ac:dyDescent="0.25">
      <c r="A63" s="6" t="s">
        <v>60</v>
      </c>
      <c r="B63" s="5">
        <f t="shared" si="1"/>
        <v>5727.1536480846062</v>
      </c>
      <c r="C63" s="5">
        <f t="shared" si="2"/>
        <v>114.54307296169213</v>
      </c>
      <c r="D63" s="5">
        <f t="shared" si="0"/>
        <v>34.362921888507636</v>
      </c>
      <c r="E63" s="5" t="s">
        <v>60</v>
      </c>
    </row>
    <row r="64" spans="1:5" x14ac:dyDescent="0.25">
      <c r="A64" s="6" t="s">
        <v>61</v>
      </c>
      <c r="B64" s="5">
        <f t="shared" si="1"/>
        <v>5761.5165699731142</v>
      </c>
      <c r="C64" s="5">
        <f t="shared" si="2"/>
        <v>115.23033139946229</v>
      </c>
      <c r="D64" s="5">
        <f t="shared" si="0"/>
        <v>34.569099419838686</v>
      </c>
      <c r="E64" s="5" t="s">
        <v>61</v>
      </c>
    </row>
    <row r="65" spans="1:5" x14ac:dyDescent="0.25">
      <c r="A65" s="6" t="s">
        <v>62</v>
      </c>
      <c r="B65" s="5">
        <f t="shared" si="1"/>
        <v>5796.0856693929527</v>
      </c>
      <c r="C65" s="5">
        <f t="shared" si="2"/>
        <v>115.92171338785906</v>
      </c>
      <c r="D65" s="5">
        <f t="shared" si="0"/>
        <v>34.776514016357716</v>
      </c>
      <c r="E65" s="5" t="s">
        <v>62</v>
      </c>
    </row>
    <row r="66" spans="1:5" x14ac:dyDescent="0.25">
      <c r="A66" s="6" t="s">
        <v>63</v>
      </c>
      <c r="B66" s="5">
        <f t="shared" si="1"/>
        <v>5830.8621834093101</v>
      </c>
      <c r="C66" s="5">
        <f t="shared" si="2"/>
        <v>116.61724366818621</v>
      </c>
      <c r="D66" s="5">
        <f t="shared" si="0"/>
        <v>34.98517310045586</v>
      </c>
      <c r="E66" s="5" t="s">
        <v>63</v>
      </c>
    </row>
    <row r="67" spans="1:5" x14ac:dyDescent="0.25">
      <c r="A67" s="6" t="s">
        <v>64</v>
      </c>
      <c r="B67" s="5">
        <f t="shared" si="1"/>
        <v>5865.8473565097656</v>
      </c>
      <c r="C67" s="5">
        <f t="shared" si="2"/>
        <v>117.31694713019532</v>
      </c>
      <c r="D67" s="5">
        <f t="shared" si="0"/>
        <v>35.195084139058594</v>
      </c>
      <c r="E67" s="5" t="s">
        <v>64</v>
      </c>
    </row>
    <row r="68" spans="1:5" x14ac:dyDescent="0.25">
      <c r="A68" s="6" t="s">
        <v>65</v>
      </c>
      <c r="B68" s="5">
        <f t="shared" si="1"/>
        <v>5901.0424406488246</v>
      </c>
      <c r="C68" s="5">
        <f t="shared" si="2"/>
        <v>118.0208488129765</v>
      </c>
      <c r="D68" s="5">
        <f t="shared" si="0"/>
        <v>35.40625464389295</v>
      </c>
      <c r="E68" s="5" t="s">
        <v>65</v>
      </c>
    </row>
    <row r="69" spans="1:5" x14ac:dyDescent="0.25">
      <c r="A69" s="6" t="s">
        <v>66</v>
      </c>
      <c r="B69" s="5">
        <f t="shared" si="1"/>
        <v>5936.4486952927173</v>
      </c>
      <c r="C69" s="5">
        <f t="shared" si="2"/>
        <v>118.72897390585435</v>
      </c>
      <c r="D69" s="5">
        <f t="shared" si="0"/>
        <v>35.618692171756301</v>
      </c>
      <c r="E69" s="5" t="s">
        <v>66</v>
      </c>
    </row>
    <row r="70" spans="1:5" x14ac:dyDescent="0.25">
      <c r="A70" s="6" t="s">
        <v>67</v>
      </c>
      <c r="B70" s="5">
        <f t="shared" si="1"/>
        <v>5972.0673874644735</v>
      </c>
      <c r="C70" s="5">
        <f t="shared" si="2"/>
        <v>119.44134774928948</v>
      </c>
      <c r="D70" s="5">
        <f t="shared" ref="D70:D133" si="3">C70*$B$2*$E$2</f>
        <v>35.832404324786843</v>
      </c>
      <c r="E70" s="5" t="s">
        <v>67</v>
      </c>
    </row>
    <row r="71" spans="1:5" x14ac:dyDescent="0.25">
      <c r="A71" s="6" t="s">
        <v>68</v>
      </c>
      <c r="B71" s="5">
        <f t="shared" si="1"/>
        <v>6007.8997917892602</v>
      </c>
      <c r="C71" s="5">
        <f t="shared" si="2"/>
        <v>120.1579958357852</v>
      </c>
      <c r="D71" s="5">
        <f t="shared" si="3"/>
        <v>36.04739875073556</v>
      </c>
      <c r="E71" s="5" t="s">
        <v>68</v>
      </c>
    </row>
    <row r="72" spans="1:5" x14ac:dyDescent="0.25">
      <c r="A72" s="6" t="s">
        <v>69</v>
      </c>
      <c r="B72" s="5">
        <f t="shared" si="1"/>
        <v>6043.947190539996</v>
      </c>
      <c r="C72" s="5">
        <f t="shared" si="2"/>
        <v>120.87894381079992</v>
      </c>
      <c r="D72" s="5">
        <f t="shared" si="3"/>
        <v>36.263683143239973</v>
      </c>
      <c r="E72" s="5" t="s">
        <v>69</v>
      </c>
    </row>
    <row r="73" spans="1:5" x14ac:dyDescent="0.25">
      <c r="A73" s="6" t="s">
        <v>70</v>
      </c>
      <c r="B73" s="5">
        <f t="shared" ref="B73:B136" si="4">B72+D72</f>
        <v>6080.2108736832361</v>
      </c>
      <c r="C73" s="5">
        <f t="shared" ref="C73:C136" si="5">B73*$C$2</f>
        <v>121.60421747366472</v>
      </c>
      <c r="D73" s="5">
        <f t="shared" si="3"/>
        <v>36.481265242099411</v>
      </c>
      <c r="E73" s="5" t="s">
        <v>70</v>
      </c>
    </row>
    <row r="74" spans="1:5" x14ac:dyDescent="0.25">
      <c r="A74" s="6" t="s">
        <v>71</v>
      </c>
      <c r="B74" s="5">
        <f t="shared" si="4"/>
        <v>6116.6921389253357</v>
      </c>
      <c r="C74" s="5">
        <f t="shared" si="5"/>
        <v>122.33384277850672</v>
      </c>
      <c r="D74" s="5">
        <f t="shared" si="3"/>
        <v>36.700152833552018</v>
      </c>
      <c r="E74" s="5" t="s">
        <v>71</v>
      </c>
    </row>
    <row r="75" spans="1:5" x14ac:dyDescent="0.25">
      <c r="A75" s="6" t="s">
        <v>72</v>
      </c>
      <c r="B75" s="5">
        <f t="shared" si="4"/>
        <v>6153.3922917588879</v>
      </c>
      <c r="C75" s="5">
        <f t="shared" si="5"/>
        <v>123.06784583517776</v>
      </c>
      <c r="D75" s="5">
        <f t="shared" si="3"/>
        <v>36.920353750553325</v>
      </c>
      <c r="E75" s="5" t="s">
        <v>72</v>
      </c>
    </row>
    <row r="76" spans="1:5" x14ac:dyDescent="0.25">
      <c r="A76" s="6" t="s">
        <v>73</v>
      </c>
      <c r="B76" s="5">
        <f t="shared" si="4"/>
        <v>6190.3126455094416</v>
      </c>
      <c r="C76" s="5">
        <f t="shared" si="5"/>
        <v>123.80625291018883</v>
      </c>
      <c r="D76" s="5">
        <f t="shared" si="3"/>
        <v>37.141875873056648</v>
      </c>
      <c r="E76" s="5" t="s">
        <v>73</v>
      </c>
    </row>
    <row r="77" spans="1:5" x14ac:dyDescent="0.25">
      <c r="A77" s="6" t="s">
        <v>74</v>
      </c>
      <c r="B77" s="5">
        <f t="shared" si="4"/>
        <v>6227.4545213824986</v>
      </c>
      <c r="C77" s="5">
        <f t="shared" si="5"/>
        <v>124.54909042764997</v>
      </c>
      <c r="D77" s="5">
        <f t="shared" si="3"/>
        <v>37.364727128294987</v>
      </c>
      <c r="E77" s="5" t="s">
        <v>74</v>
      </c>
    </row>
    <row r="78" spans="1:5" x14ac:dyDescent="0.25">
      <c r="A78" s="6" t="s">
        <v>75</v>
      </c>
      <c r="B78" s="5">
        <f t="shared" si="4"/>
        <v>6264.8192485107938</v>
      </c>
      <c r="C78" s="5">
        <f t="shared" si="5"/>
        <v>125.29638497021588</v>
      </c>
      <c r="D78" s="5">
        <f t="shared" si="3"/>
        <v>37.58891549106476</v>
      </c>
      <c r="E78" s="5" t="s">
        <v>75</v>
      </c>
    </row>
    <row r="79" spans="1:5" x14ac:dyDescent="0.25">
      <c r="A79" s="6" t="s">
        <v>76</v>
      </c>
      <c r="B79" s="5">
        <f t="shared" si="4"/>
        <v>6302.4081640018585</v>
      </c>
      <c r="C79" s="5">
        <f t="shared" si="5"/>
        <v>126.04816328003717</v>
      </c>
      <c r="D79" s="5">
        <f t="shared" si="3"/>
        <v>37.81444898401115</v>
      </c>
      <c r="E79" s="5" t="s">
        <v>76</v>
      </c>
    </row>
    <row r="80" spans="1:5" x14ac:dyDescent="0.25">
      <c r="A80" s="6" t="s">
        <v>77</v>
      </c>
      <c r="B80" s="5">
        <f t="shared" si="4"/>
        <v>6340.22261298587</v>
      </c>
      <c r="C80" s="5">
        <f t="shared" si="5"/>
        <v>126.80445225971741</v>
      </c>
      <c r="D80" s="5">
        <f t="shared" si="3"/>
        <v>38.041335677915221</v>
      </c>
      <c r="E80" s="5" t="s">
        <v>77</v>
      </c>
    </row>
    <row r="81" spans="1:5" x14ac:dyDescent="0.25">
      <c r="A81" s="6" t="s">
        <v>78</v>
      </c>
      <c r="B81" s="5">
        <f t="shared" si="4"/>
        <v>6378.2639486637854</v>
      </c>
      <c r="C81" s="5">
        <f t="shared" si="5"/>
        <v>127.56527897327571</v>
      </c>
      <c r="D81" s="5">
        <f t="shared" si="3"/>
        <v>38.26958369198271</v>
      </c>
      <c r="E81" s="5" t="s">
        <v>78</v>
      </c>
    </row>
    <row r="82" spans="1:5" x14ac:dyDescent="0.25">
      <c r="A82" s="6" t="s">
        <v>79</v>
      </c>
      <c r="B82" s="5">
        <f t="shared" si="4"/>
        <v>6416.5335323557683</v>
      </c>
      <c r="C82" s="5">
        <f t="shared" si="5"/>
        <v>128.33067064711537</v>
      </c>
      <c r="D82" s="5">
        <f t="shared" si="3"/>
        <v>38.499201194134606</v>
      </c>
      <c r="E82" s="5" t="s">
        <v>79</v>
      </c>
    </row>
    <row r="83" spans="1:5" x14ac:dyDescent="0.25">
      <c r="A83" s="6" t="s">
        <v>80</v>
      </c>
      <c r="B83" s="5">
        <f t="shared" si="4"/>
        <v>6455.0327335499032</v>
      </c>
      <c r="C83" s="5">
        <f t="shared" si="5"/>
        <v>129.10065467099807</v>
      </c>
      <c r="D83" s="5">
        <f t="shared" si="3"/>
        <v>38.730196401299416</v>
      </c>
      <c r="E83" s="5" t="s">
        <v>80</v>
      </c>
    </row>
    <row r="84" spans="1:5" x14ac:dyDescent="0.25">
      <c r="A84" s="6" t="s">
        <v>81</v>
      </c>
      <c r="B84" s="5">
        <f t="shared" si="4"/>
        <v>6493.7629299512028</v>
      </c>
      <c r="C84" s="5">
        <f t="shared" si="5"/>
        <v>129.87525859902405</v>
      </c>
      <c r="D84" s="5">
        <f t="shared" si="3"/>
        <v>38.962577579707215</v>
      </c>
      <c r="E84" s="5" t="s">
        <v>81</v>
      </c>
    </row>
    <row r="85" spans="1:5" x14ac:dyDescent="0.25">
      <c r="A85" s="6" t="s">
        <v>82</v>
      </c>
      <c r="B85" s="5">
        <f t="shared" si="4"/>
        <v>6532.7255075309104</v>
      </c>
      <c r="C85" s="5">
        <f t="shared" si="5"/>
        <v>130.65451015061822</v>
      </c>
      <c r="D85" s="5">
        <f t="shared" si="3"/>
        <v>39.196353045185468</v>
      </c>
      <c r="E85" s="5" t="s">
        <v>82</v>
      </c>
    </row>
    <row r="86" spans="1:5" x14ac:dyDescent="0.25">
      <c r="A86" s="6" t="s">
        <v>83</v>
      </c>
      <c r="B86" s="5">
        <f t="shared" si="4"/>
        <v>6571.9218605760962</v>
      </c>
      <c r="C86" s="5">
        <f t="shared" si="5"/>
        <v>131.43843721152192</v>
      </c>
      <c r="D86" s="5">
        <f t="shared" si="3"/>
        <v>39.431531163456576</v>
      </c>
      <c r="E86" s="5" t="s">
        <v>83</v>
      </c>
    </row>
    <row r="87" spans="1:5" x14ac:dyDescent="0.25">
      <c r="A87" s="6" t="s">
        <v>84</v>
      </c>
      <c r="B87" s="5">
        <f t="shared" si="4"/>
        <v>6611.3533917395525</v>
      </c>
      <c r="C87" s="5">
        <f t="shared" si="5"/>
        <v>132.22706783479106</v>
      </c>
      <c r="D87" s="5">
        <f t="shared" si="3"/>
        <v>39.668120350437313</v>
      </c>
      <c r="E87" s="5" t="s">
        <v>84</v>
      </c>
    </row>
    <row r="88" spans="1:5" x14ac:dyDescent="0.25">
      <c r="A88" s="6" t="s">
        <v>85</v>
      </c>
      <c r="B88" s="5">
        <f t="shared" si="4"/>
        <v>6651.0215120899902</v>
      </c>
      <c r="C88" s="5">
        <f t="shared" si="5"/>
        <v>133.0204302417998</v>
      </c>
      <c r="D88" s="5">
        <f t="shared" si="3"/>
        <v>39.90612907253994</v>
      </c>
      <c r="E88" s="5" t="s">
        <v>85</v>
      </c>
    </row>
    <row r="89" spans="1:5" x14ac:dyDescent="0.25">
      <c r="A89" s="6" t="s">
        <v>86</v>
      </c>
      <c r="B89" s="5">
        <f t="shared" si="4"/>
        <v>6690.9276411625306</v>
      </c>
      <c r="C89" s="5">
        <f t="shared" si="5"/>
        <v>133.81855282325063</v>
      </c>
      <c r="D89" s="5">
        <f t="shared" si="3"/>
        <v>40.145565846975188</v>
      </c>
      <c r="E89" s="5" t="s">
        <v>86</v>
      </c>
    </row>
    <row r="90" spans="1:5" x14ac:dyDescent="0.25">
      <c r="A90" s="6" t="s">
        <v>87</v>
      </c>
      <c r="B90" s="5">
        <f t="shared" si="4"/>
        <v>6731.0732070095055</v>
      </c>
      <c r="C90" s="5">
        <f t="shared" si="5"/>
        <v>134.62146414019011</v>
      </c>
      <c r="D90" s="5">
        <f t="shared" si="3"/>
        <v>40.38643924205703</v>
      </c>
      <c r="E90" s="5" t="s">
        <v>87</v>
      </c>
    </row>
    <row r="91" spans="1:5" x14ac:dyDescent="0.25">
      <c r="A91" s="6" t="s">
        <v>88</v>
      </c>
      <c r="B91" s="5">
        <f t="shared" si="4"/>
        <v>6771.4596462515628</v>
      </c>
      <c r="C91" s="5">
        <f t="shared" si="5"/>
        <v>135.42919292503126</v>
      </c>
      <c r="D91" s="5">
        <f t="shared" si="3"/>
        <v>40.628757877509379</v>
      </c>
      <c r="E91" s="5" t="s">
        <v>88</v>
      </c>
    </row>
    <row r="92" spans="1:5" x14ac:dyDescent="0.25">
      <c r="A92" s="6" t="s">
        <v>89</v>
      </c>
      <c r="B92" s="5">
        <f t="shared" si="4"/>
        <v>6812.0884041290719</v>
      </c>
      <c r="C92" s="5">
        <f t="shared" si="5"/>
        <v>136.24176808258144</v>
      </c>
      <c r="D92" s="5">
        <f t="shared" si="3"/>
        <v>40.872530424774432</v>
      </c>
      <c r="E92" s="5" t="s">
        <v>89</v>
      </c>
    </row>
    <row r="93" spans="1:5" x14ac:dyDescent="0.25">
      <c r="A93" s="6" t="s">
        <v>90</v>
      </c>
      <c r="B93" s="5">
        <f t="shared" si="4"/>
        <v>6852.9609345538465</v>
      </c>
      <c r="C93" s="5">
        <f t="shared" si="5"/>
        <v>137.05921869107692</v>
      </c>
      <c r="D93" s="5">
        <f t="shared" si="3"/>
        <v>41.117765607323072</v>
      </c>
      <c r="E93" s="5" t="s">
        <v>90</v>
      </c>
    </row>
    <row r="94" spans="1:5" x14ac:dyDescent="0.25">
      <c r="A94" s="6" t="s">
        <v>91</v>
      </c>
      <c r="B94" s="5">
        <f t="shared" si="4"/>
        <v>6894.0787001611698</v>
      </c>
      <c r="C94" s="5">
        <f t="shared" si="5"/>
        <v>137.88157400322339</v>
      </c>
      <c r="D94" s="5">
        <f t="shared" si="3"/>
        <v>41.364472200967015</v>
      </c>
      <c r="E94" s="5" t="s">
        <v>91</v>
      </c>
    </row>
    <row r="95" spans="1:5" x14ac:dyDescent="0.25">
      <c r="A95" s="6" t="s">
        <v>92</v>
      </c>
      <c r="B95" s="5">
        <f t="shared" si="4"/>
        <v>6935.4431723621365</v>
      </c>
      <c r="C95" s="5">
        <f t="shared" si="5"/>
        <v>138.70886344724272</v>
      </c>
      <c r="D95" s="5">
        <f t="shared" si="3"/>
        <v>41.612659034172815</v>
      </c>
      <c r="E95" s="5" t="s">
        <v>92</v>
      </c>
    </row>
    <row r="96" spans="1:5" x14ac:dyDescent="0.25">
      <c r="A96" s="6" t="s">
        <v>93</v>
      </c>
      <c r="B96" s="5">
        <f t="shared" si="4"/>
        <v>6977.0558313963093</v>
      </c>
      <c r="C96" s="5">
        <f t="shared" si="5"/>
        <v>139.54111662792619</v>
      </c>
      <c r="D96" s="5">
        <f t="shared" si="3"/>
        <v>41.862334988377853</v>
      </c>
      <c r="E96" s="5" t="s">
        <v>93</v>
      </c>
    </row>
    <row r="97" spans="1:5" x14ac:dyDescent="0.25">
      <c r="A97" s="6" t="s">
        <v>94</v>
      </c>
      <c r="B97" s="5">
        <f t="shared" si="4"/>
        <v>7018.9181663846875</v>
      </c>
      <c r="C97" s="5">
        <f t="shared" si="5"/>
        <v>140.37836332769376</v>
      </c>
      <c r="D97" s="5">
        <f t="shared" si="3"/>
        <v>42.113508998308127</v>
      </c>
      <c r="E97" s="5" t="s">
        <v>94</v>
      </c>
    </row>
    <row r="98" spans="1:5" x14ac:dyDescent="0.25">
      <c r="A98" s="6" t="s">
        <v>95</v>
      </c>
      <c r="B98" s="5">
        <f t="shared" si="4"/>
        <v>7061.0316753829957</v>
      </c>
      <c r="C98" s="5">
        <f t="shared" si="5"/>
        <v>141.22063350765993</v>
      </c>
      <c r="D98" s="5">
        <f t="shared" si="3"/>
        <v>42.366190052297974</v>
      </c>
      <c r="E98" s="5" t="s">
        <v>95</v>
      </c>
    </row>
    <row r="99" spans="1:5" x14ac:dyDescent="0.25">
      <c r="A99" s="6" t="s">
        <v>96</v>
      </c>
      <c r="B99" s="5">
        <f t="shared" si="4"/>
        <v>7103.3978654352941</v>
      </c>
      <c r="C99" s="5">
        <f t="shared" si="5"/>
        <v>142.06795730870587</v>
      </c>
      <c r="D99" s="5">
        <f t="shared" si="3"/>
        <v>42.620387192611759</v>
      </c>
      <c r="E99" s="5" t="s">
        <v>96</v>
      </c>
    </row>
    <row r="100" spans="1:5" x14ac:dyDescent="0.25">
      <c r="A100" s="6" t="s">
        <v>97</v>
      </c>
      <c r="B100" s="5">
        <f t="shared" si="4"/>
        <v>7146.0182526279059</v>
      </c>
      <c r="C100" s="5">
        <f t="shared" si="5"/>
        <v>142.92036505255811</v>
      </c>
      <c r="D100" s="5">
        <f t="shared" si="3"/>
        <v>42.876109515767432</v>
      </c>
      <c r="E100" s="5" t="s">
        <v>97</v>
      </c>
    </row>
    <row r="101" spans="1:5" x14ac:dyDescent="0.25">
      <c r="A101" s="6" t="s">
        <v>98</v>
      </c>
      <c r="B101" s="5">
        <f t="shared" si="4"/>
        <v>7188.8943621436729</v>
      </c>
      <c r="C101" s="5">
        <f t="shared" si="5"/>
        <v>143.77788724287345</v>
      </c>
      <c r="D101" s="5">
        <f t="shared" si="3"/>
        <v>43.133366172862033</v>
      </c>
      <c r="E101" s="5" t="s">
        <v>98</v>
      </c>
    </row>
    <row r="102" spans="1:5" x14ac:dyDescent="0.25">
      <c r="A102" s="6" t="s">
        <v>99</v>
      </c>
      <c r="B102" s="5">
        <f t="shared" si="4"/>
        <v>7232.0277283165351</v>
      </c>
      <c r="C102" s="5">
        <f t="shared" si="5"/>
        <v>144.64055456633071</v>
      </c>
      <c r="D102" s="5">
        <f t="shared" si="3"/>
        <v>43.392166369899208</v>
      </c>
      <c r="E102" s="5" t="s">
        <v>99</v>
      </c>
    </row>
    <row r="103" spans="1:5" x14ac:dyDescent="0.25">
      <c r="A103" s="6" t="s">
        <v>100</v>
      </c>
      <c r="B103" s="5">
        <f t="shared" si="4"/>
        <v>7275.4198946864344</v>
      </c>
      <c r="C103" s="5">
        <f t="shared" si="5"/>
        <v>145.5083978937287</v>
      </c>
      <c r="D103" s="5">
        <f t="shared" si="3"/>
        <v>43.652519368118611</v>
      </c>
      <c r="E103" s="5" t="s">
        <v>100</v>
      </c>
    </row>
    <row r="104" spans="1:5" x14ac:dyDescent="0.25">
      <c r="A104" s="6" t="s">
        <v>101</v>
      </c>
      <c r="B104" s="5">
        <f t="shared" si="4"/>
        <v>7319.0724140545526</v>
      </c>
      <c r="C104" s="5">
        <f t="shared" si="5"/>
        <v>146.38144828109105</v>
      </c>
      <c r="D104" s="5">
        <f t="shared" si="3"/>
        <v>43.914434484327316</v>
      </c>
      <c r="E104" s="5" t="s">
        <v>101</v>
      </c>
    </row>
    <row r="105" spans="1:5" x14ac:dyDescent="0.25">
      <c r="A105" s="6" t="s">
        <v>102</v>
      </c>
      <c r="B105" s="5">
        <f t="shared" si="4"/>
        <v>7362.9868485388797</v>
      </c>
      <c r="C105" s="5">
        <f t="shared" si="5"/>
        <v>147.2597369707776</v>
      </c>
      <c r="D105" s="5">
        <f t="shared" si="3"/>
        <v>44.17792109123328</v>
      </c>
      <c r="E105" s="5" t="s">
        <v>102</v>
      </c>
    </row>
    <row r="106" spans="1:5" x14ac:dyDescent="0.25">
      <c r="A106" s="6" t="s">
        <v>103</v>
      </c>
      <c r="B106" s="5">
        <f t="shared" si="4"/>
        <v>7407.1647696301134</v>
      </c>
      <c r="C106" s="5">
        <f t="shared" si="5"/>
        <v>148.14329539260228</v>
      </c>
      <c r="D106" s="5">
        <f t="shared" si="3"/>
        <v>44.442988617780685</v>
      </c>
      <c r="E106" s="5" t="s">
        <v>103</v>
      </c>
    </row>
    <row r="107" spans="1:5" x14ac:dyDescent="0.25">
      <c r="A107" s="6" t="s">
        <v>104</v>
      </c>
      <c r="B107" s="5">
        <f t="shared" si="4"/>
        <v>7451.6077582478938</v>
      </c>
      <c r="C107" s="5">
        <f t="shared" si="5"/>
        <v>149.03215516495789</v>
      </c>
      <c r="D107" s="5">
        <f t="shared" si="3"/>
        <v>44.709646549487367</v>
      </c>
      <c r="E107" s="5" t="s">
        <v>104</v>
      </c>
    </row>
    <row r="108" spans="1:5" x14ac:dyDescent="0.25">
      <c r="A108" s="6" t="s">
        <v>105</v>
      </c>
      <c r="B108" s="5">
        <f t="shared" si="4"/>
        <v>7496.3174047973807</v>
      </c>
      <c r="C108" s="5">
        <f t="shared" si="5"/>
        <v>149.92634809594762</v>
      </c>
      <c r="D108" s="5">
        <f t="shared" si="3"/>
        <v>44.977904428784285</v>
      </c>
      <c r="E108" s="5" t="s">
        <v>105</v>
      </c>
    </row>
    <row r="109" spans="1:5" x14ac:dyDescent="0.25">
      <c r="A109" s="6" t="s">
        <v>106</v>
      </c>
      <c r="B109" s="5">
        <f t="shared" si="4"/>
        <v>7541.295309226165</v>
      </c>
      <c r="C109" s="5">
        <f t="shared" si="5"/>
        <v>150.82590618452329</v>
      </c>
      <c r="D109" s="5">
        <f t="shared" si="3"/>
        <v>45.247771855356987</v>
      </c>
      <c r="E109" s="5" t="s">
        <v>106</v>
      </c>
    </row>
    <row r="110" spans="1:5" x14ac:dyDescent="0.25">
      <c r="A110" s="6" t="s">
        <v>107</v>
      </c>
      <c r="B110" s="5">
        <f t="shared" si="4"/>
        <v>7586.5430810815224</v>
      </c>
      <c r="C110" s="5">
        <f t="shared" si="5"/>
        <v>151.73086162163045</v>
      </c>
      <c r="D110" s="5">
        <f t="shared" si="3"/>
        <v>45.519258486489136</v>
      </c>
      <c r="E110" s="5" t="s">
        <v>107</v>
      </c>
    </row>
    <row r="111" spans="1:5" x14ac:dyDescent="0.25">
      <c r="A111" s="6" t="s">
        <v>108</v>
      </c>
      <c r="B111" s="5">
        <f t="shared" si="4"/>
        <v>7632.0623395680113</v>
      </c>
      <c r="C111" s="5">
        <f t="shared" si="5"/>
        <v>152.64124679136023</v>
      </c>
      <c r="D111" s="5">
        <f t="shared" si="3"/>
        <v>45.792374037408067</v>
      </c>
      <c r="E111" s="5" t="s">
        <v>108</v>
      </c>
    </row>
    <row r="112" spans="1:5" x14ac:dyDescent="0.25">
      <c r="A112" s="6" t="s">
        <v>109</v>
      </c>
      <c r="B112" s="5">
        <f t="shared" si="4"/>
        <v>7677.8547136054194</v>
      </c>
      <c r="C112" s="5">
        <f t="shared" si="5"/>
        <v>153.5570942721084</v>
      </c>
      <c r="D112" s="5">
        <f t="shared" si="3"/>
        <v>46.06712828163252</v>
      </c>
      <c r="E112" s="5" t="s">
        <v>109</v>
      </c>
    </row>
    <row r="113" spans="1:5" x14ac:dyDescent="0.25">
      <c r="A113" s="6" t="s">
        <v>110</v>
      </c>
      <c r="B113" s="5">
        <f t="shared" si="4"/>
        <v>7723.9218418870523</v>
      </c>
      <c r="C113" s="5">
        <f t="shared" si="5"/>
        <v>154.47843683774104</v>
      </c>
      <c r="D113" s="5">
        <f t="shared" si="3"/>
        <v>46.343531051322309</v>
      </c>
      <c r="E113" s="5" t="s">
        <v>110</v>
      </c>
    </row>
    <row r="114" spans="1:5" x14ac:dyDescent="0.25">
      <c r="A114" s="6" t="s">
        <v>111</v>
      </c>
      <c r="B114" s="5">
        <f t="shared" si="4"/>
        <v>7770.2653729383746</v>
      </c>
      <c r="C114" s="5">
        <f t="shared" si="5"/>
        <v>155.40530745876751</v>
      </c>
      <c r="D114" s="5">
        <f t="shared" si="3"/>
        <v>46.621592237630253</v>
      </c>
      <c r="E114" s="5" t="s">
        <v>111</v>
      </c>
    </row>
    <row r="115" spans="1:5" x14ac:dyDescent="0.25">
      <c r="A115" s="6" t="s">
        <v>112</v>
      </c>
      <c r="B115" s="5">
        <f t="shared" si="4"/>
        <v>7816.8869651760051</v>
      </c>
      <c r="C115" s="5">
        <f t="shared" si="5"/>
        <v>156.3377393035201</v>
      </c>
      <c r="D115" s="5">
        <f t="shared" si="3"/>
        <v>46.901321791056027</v>
      </c>
      <c r="E115" s="5" t="s">
        <v>112</v>
      </c>
    </row>
    <row r="116" spans="1:5" x14ac:dyDescent="0.25">
      <c r="A116" s="6" t="s">
        <v>113</v>
      </c>
      <c r="B116" s="5">
        <f t="shared" si="4"/>
        <v>7863.7882869670611</v>
      </c>
      <c r="C116" s="5">
        <f t="shared" si="5"/>
        <v>157.27576573934124</v>
      </c>
      <c r="D116" s="5">
        <f t="shared" si="3"/>
        <v>47.182729721802367</v>
      </c>
      <c r="E116" s="5" t="s">
        <v>113</v>
      </c>
    </row>
    <row r="117" spans="1:5" x14ac:dyDescent="0.25">
      <c r="A117" s="6" t="s">
        <v>114</v>
      </c>
      <c r="B117" s="5">
        <f t="shared" si="4"/>
        <v>7910.9710166888635</v>
      </c>
      <c r="C117" s="5">
        <f t="shared" si="5"/>
        <v>158.21942033377726</v>
      </c>
      <c r="D117" s="5">
        <f t="shared" si="3"/>
        <v>47.465826100133178</v>
      </c>
      <c r="E117" s="5" t="s">
        <v>114</v>
      </c>
    </row>
    <row r="118" spans="1:5" x14ac:dyDescent="0.25">
      <c r="A118" s="6" t="s">
        <v>115</v>
      </c>
      <c r="B118" s="5">
        <f t="shared" si="4"/>
        <v>7958.4368427889967</v>
      </c>
      <c r="C118" s="5">
        <f t="shared" si="5"/>
        <v>159.16873685577994</v>
      </c>
      <c r="D118" s="5">
        <f t="shared" si="3"/>
        <v>47.750621056733983</v>
      </c>
      <c r="E118" s="5" t="s">
        <v>115</v>
      </c>
    </row>
    <row r="119" spans="1:5" x14ac:dyDescent="0.25">
      <c r="A119" s="6" t="s">
        <v>116</v>
      </c>
      <c r="B119" s="5">
        <f t="shared" si="4"/>
        <v>8006.1874638457311</v>
      </c>
      <c r="C119" s="5">
        <f t="shared" si="5"/>
        <v>160.12374927691462</v>
      </c>
      <c r="D119" s="5">
        <f t="shared" si="3"/>
        <v>48.037124783074383</v>
      </c>
      <c r="E119" s="5" t="s">
        <v>116</v>
      </c>
    </row>
    <row r="120" spans="1:5" x14ac:dyDescent="0.25">
      <c r="A120" s="6" t="s">
        <v>117</v>
      </c>
      <c r="B120" s="5">
        <f t="shared" si="4"/>
        <v>8054.2245886288056</v>
      </c>
      <c r="C120" s="5">
        <f t="shared" si="5"/>
        <v>161.08449177257611</v>
      </c>
      <c r="D120" s="5">
        <f t="shared" si="3"/>
        <v>48.325347531772834</v>
      </c>
      <c r="E120" s="5" t="s">
        <v>117</v>
      </c>
    </row>
    <row r="121" spans="1:5" x14ac:dyDescent="0.25">
      <c r="A121" s="6" t="s">
        <v>118</v>
      </c>
      <c r="B121" s="5">
        <f t="shared" si="4"/>
        <v>8102.549936160578</v>
      </c>
      <c r="C121" s="5">
        <f t="shared" si="5"/>
        <v>162.05099872321156</v>
      </c>
      <c r="D121" s="5">
        <f t="shared" si="3"/>
        <v>48.615299616963469</v>
      </c>
      <c r="E121" s="5" t="s">
        <v>118</v>
      </c>
    </row>
    <row r="122" spans="1:5" x14ac:dyDescent="0.25">
      <c r="A122" s="6" t="s">
        <v>119</v>
      </c>
      <c r="B122" s="5">
        <f t="shared" si="4"/>
        <v>8151.1652357775411</v>
      </c>
      <c r="C122" s="5">
        <f t="shared" si="5"/>
        <v>163.02330471555084</v>
      </c>
      <c r="D122" s="5">
        <f t="shared" si="3"/>
        <v>48.906991414665249</v>
      </c>
      <c r="E122" s="5" t="s">
        <v>119</v>
      </c>
    </row>
    <row r="123" spans="1:5" x14ac:dyDescent="0.25">
      <c r="A123" s="6" t="s">
        <v>120</v>
      </c>
      <c r="B123" s="5">
        <f t="shared" si="4"/>
        <v>8200.0722271922059</v>
      </c>
      <c r="C123" s="5">
        <f t="shared" si="5"/>
        <v>164.00144454384412</v>
      </c>
      <c r="D123" s="5">
        <f t="shared" si="3"/>
        <v>49.20043336315323</v>
      </c>
      <c r="E123" s="5" t="s">
        <v>120</v>
      </c>
    </row>
    <row r="124" spans="1:5" x14ac:dyDescent="0.25">
      <c r="A124" s="6" t="s">
        <v>121</v>
      </c>
      <c r="B124" s="5">
        <f t="shared" si="4"/>
        <v>8249.2726605553598</v>
      </c>
      <c r="C124" s="5">
        <f t="shared" si="5"/>
        <v>164.9854532111072</v>
      </c>
      <c r="D124" s="5">
        <f t="shared" si="3"/>
        <v>49.495635963332155</v>
      </c>
      <c r="E124" s="5" t="s">
        <v>121</v>
      </c>
    </row>
    <row r="125" spans="1:5" x14ac:dyDescent="0.25">
      <c r="A125" s="6" t="s">
        <v>122</v>
      </c>
      <c r="B125" s="5">
        <f t="shared" si="4"/>
        <v>8298.7682965186923</v>
      </c>
      <c r="C125" s="5">
        <f t="shared" si="5"/>
        <v>165.97536593037384</v>
      </c>
      <c r="D125" s="5">
        <f t="shared" si="3"/>
        <v>49.792609779112148</v>
      </c>
      <c r="E125" s="5" t="s">
        <v>122</v>
      </c>
    </row>
    <row r="126" spans="1:5" x14ac:dyDescent="0.25">
      <c r="A126" s="6" t="s">
        <v>123</v>
      </c>
      <c r="B126" s="5">
        <f t="shared" si="4"/>
        <v>8348.5609062978037</v>
      </c>
      <c r="C126" s="5">
        <f t="shared" si="5"/>
        <v>166.97121812595609</v>
      </c>
      <c r="D126" s="5">
        <f t="shared" si="3"/>
        <v>50.091365437786827</v>
      </c>
      <c r="E126" s="5" t="s">
        <v>123</v>
      </c>
    </row>
    <row r="127" spans="1:5" x14ac:dyDescent="0.25">
      <c r="A127" s="6" t="s">
        <v>124</v>
      </c>
      <c r="B127" s="5">
        <f t="shared" si="4"/>
        <v>8398.6522717355911</v>
      </c>
      <c r="C127" s="5">
        <f t="shared" si="5"/>
        <v>167.97304543471182</v>
      </c>
      <c r="D127" s="5">
        <f t="shared" si="3"/>
        <v>50.391913630413548</v>
      </c>
      <c r="E127" s="5" t="s">
        <v>124</v>
      </c>
    </row>
    <row r="128" spans="1:5" x14ac:dyDescent="0.25">
      <c r="A128" s="6" t="s">
        <v>125</v>
      </c>
      <c r="B128" s="5">
        <f t="shared" si="4"/>
        <v>8449.044185366005</v>
      </c>
      <c r="C128" s="5">
        <f t="shared" si="5"/>
        <v>168.98088370732009</v>
      </c>
      <c r="D128" s="5">
        <f t="shared" si="3"/>
        <v>50.694265112196028</v>
      </c>
      <c r="E128" s="5" t="s">
        <v>125</v>
      </c>
    </row>
    <row r="129" spans="1:5" x14ac:dyDescent="0.25">
      <c r="A129" s="6" t="s">
        <v>126</v>
      </c>
      <c r="B129" s="5">
        <f t="shared" si="4"/>
        <v>8499.7384504782003</v>
      </c>
      <c r="C129" s="5">
        <f t="shared" si="5"/>
        <v>169.99476900956401</v>
      </c>
      <c r="D129" s="5">
        <f t="shared" si="3"/>
        <v>50.9984307028692</v>
      </c>
      <c r="E129" s="5" t="s">
        <v>126</v>
      </c>
    </row>
    <row r="130" spans="1:5" x14ac:dyDescent="0.25">
      <c r="A130" s="6" t="s">
        <v>127</v>
      </c>
      <c r="B130" s="5">
        <f t="shared" si="4"/>
        <v>8550.7368811810702</v>
      </c>
      <c r="C130" s="5">
        <f t="shared" si="5"/>
        <v>171.01473762362141</v>
      </c>
      <c r="D130" s="5">
        <f t="shared" si="3"/>
        <v>51.30442128708642</v>
      </c>
      <c r="E130" s="5" t="s">
        <v>127</v>
      </c>
    </row>
    <row r="131" spans="1:5" x14ac:dyDescent="0.25">
      <c r="A131" s="6" t="s">
        <v>128</v>
      </c>
      <c r="B131" s="5">
        <f t="shared" si="4"/>
        <v>8602.0413024681566</v>
      </c>
      <c r="C131" s="5">
        <f t="shared" si="5"/>
        <v>172.04082604936315</v>
      </c>
      <c r="D131" s="5">
        <f t="shared" si="3"/>
        <v>51.612247814808946</v>
      </c>
      <c r="E131" s="5" t="s">
        <v>128</v>
      </c>
    </row>
    <row r="132" spans="1:5" x14ac:dyDescent="0.25">
      <c r="A132" s="6" t="s">
        <v>129</v>
      </c>
      <c r="B132" s="5">
        <f t="shared" si="4"/>
        <v>8653.6535502829647</v>
      </c>
      <c r="C132" s="5">
        <f t="shared" si="5"/>
        <v>173.0730710056593</v>
      </c>
      <c r="D132" s="5">
        <f t="shared" si="3"/>
        <v>51.921921301697786</v>
      </c>
      <c r="E132" s="5" t="s">
        <v>129</v>
      </c>
    </row>
    <row r="133" spans="1:5" x14ac:dyDescent="0.25">
      <c r="A133" s="6" t="s">
        <v>130</v>
      </c>
      <c r="B133" s="5">
        <f t="shared" si="4"/>
        <v>8705.5754715846633</v>
      </c>
      <c r="C133" s="5">
        <f t="shared" si="5"/>
        <v>174.11150943169326</v>
      </c>
      <c r="D133" s="5">
        <f t="shared" si="3"/>
        <v>52.233452829507975</v>
      </c>
      <c r="E133" s="5" t="s">
        <v>130</v>
      </c>
    </row>
    <row r="134" spans="1:5" x14ac:dyDescent="0.25">
      <c r="A134" s="6" t="s">
        <v>131</v>
      </c>
      <c r="B134" s="5">
        <f t="shared" si="4"/>
        <v>8757.808924414172</v>
      </c>
      <c r="C134" s="5">
        <f t="shared" si="5"/>
        <v>175.15617848828344</v>
      </c>
      <c r="D134" s="5">
        <f t="shared" ref="D134:D197" si="6">C134*$B$2*$E$2</f>
        <v>52.546853546485032</v>
      </c>
      <c r="E134" s="5" t="s">
        <v>131</v>
      </c>
    </row>
    <row r="135" spans="1:5" x14ac:dyDescent="0.25">
      <c r="A135" s="6" t="s">
        <v>132</v>
      </c>
      <c r="B135" s="5">
        <f t="shared" si="4"/>
        <v>8810.3557779606563</v>
      </c>
      <c r="C135" s="5">
        <f t="shared" si="5"/>
        <v>176.20711555921312</v>
      </c>
      <c r="D135" s="5">
        <f t="shared" si="6"/>
        <v>52.862134667763932</v>
      </c>
      <c r="E135" s="5" t="s">
        <v>132</v>
      </c>
    </row>
    <row r="136" spans="1:5" x14ac:dyDescent="0.25">
      <c r="A136" s="6" t="s">
        <v>133</v>
      </c>
      <c r="B136" s="5">
        <f t="shared" si="4"/>
        <v>8863.2179126284209</v>
      </c>
      <c r="C136" s="5">
        <f t="shared" si="5"/>
        <v>177.26435825256843</v>
      </c>
      <c r="D136" s="5">
        <f t="shared" si="6"/>
        <v>53.179307475770528</v>
      </c>
      <c r="E136" s="5" t="s">
        <v>133</v>
      </c>
    </row>
    <row r="137" spans="1:5" x14ac:dyDescent="0.25">
      <c r="A137" s="6" t="s">
        <v>134</v>
      </c>
      <c r="B137" s="5">
        <f t="shared" ref="B137:B200" si="7">B136+D136</f>
        <v>8916.3972201041906</v>
      </c>
      <c r="C137" s="5">
        <f t="shared" ref="C137:C200" si="8">B137*$C$2</f>
        <v>178.32794440208383</v>
      </c>
      <c r="D137" s="5">
        <f t="shared" si="6"/>
        <v>53.498383320625145</v>
      </c>
      <c r="E137" s="5" t="s">
        <v>134</v>
      </c>
    </row>
    <row r="138" spans="1:5" x14ac:dyDescent="0.25">
      <c r="A138" s="6" t="s">
        <v>135</v>
      </c>
      <c r="B138" s="5">
        <f t="shared" si="7"/>
        <v>8969.8956034248149</v>
      </c>
      <c r="C138" s="5">
        <f t="shared" si="8"/>
        <v>179.39791206849631</v>
      </c>
      <c r="D138" s="5">
        <f t="shared" si="6"/>
        <v>53.819373620548895</v>
      </c>
      <c r="E138" s="5" t="s">
        <v>135</v>
      </c>
    </row>
    <row r="139" spans="1:5" x14ac:dyDescent="0.25">
      <c r="A139" s="6" t="s">
        <v>136</v>
      </c>
      <c r="B139" s="5">
        <f t="shared" si="7"/>
        <v>9023.7149770453634</v>
      </c>
      <c r="C139" s="5">
        <f t="shared" si="8"/>
        <v>180.47429954090728</v>
      </c>
      <c r="D139" s="5">
        <f t="shared" si="6"/>
        <v>54.142289862272186</v>
      </c>
      <c r="E139" s="5" t="s">
        <v>136</v>
      </c>
    </row>
    <row r="140" spans="1:5" x14ac:dyDescent="0.25">
      <c r="A140" s="6" t="s">
        <v>137</v>
      </c>
      <c r="B140" s="5">
        <f t="shared" si="7"/>
        <v>9077.8572669076348</v>
      </c>
      <c r="C140" s="5">
        <f t="shared" si="8"/>
        <v>181.55714533815271</v>
      </c>
      <c r="D140" s="5">
        <f t="shared" si="6"/>
        <v>54.467143601445812</v>
      </c>
      <c r="E140" s="5" t="s">
        <v>137</v>
      </c>
    </row>
    <row r="141" spans="1:5" x14ac:dyDescent="0.25">
      <c r="A141" s="6" t="s">
        <v>138</v>
      </c>
      <c r="B141" s="5">
        <f t="shared" si="7"/>
        <v>9132.3244105090798</v>
      </c>
      <c r="C141" s="5">
        <f t="shared" si="8"/>
        <v>182.64648821018159</v>
      </c>
      <c r="D141" s="5">
        <f t="shared" si="6"/>
        <v>54.793946463054475</v>
      </c>
      <c r="E141" s="5" t="s">
        <v>138</v>
      </c>
    </row>
    <row r="142" spans="1:5" x14ac:dyDescent="0.25">
      <c r="A142" s="6" t="s">
        <v>139</v>
      </c>
      <c r="B142" s="5">
        <f t="shared" si="7"/>
        <v>9187.1183569721343</v>
      </c>
      <c r="C142" s="5">
        <f t="shared" si="8"/>
        <v>183.74236713944268</v>
      </c>
      <c r="D142" s="5">
        <f t="shared" si="6"/>
        <v>55.122710141832805</v>
      </c>
      <c r="E142" s="5" t="s">
        <v>139</v>
      </c>
    </row>
    <row r="143" spans="1:5" x14ac:dyDescent="0.25">
      <c r="A143" s="6" t="s">
        <v>140</v>
      </c>
      <c r="B143" s="5">
        <f t="shared" si="7"/>
        <v>9242.2410671139678</v>
      </c>
      <c r="C143" s="5">
        <f t="shared" si="8"/>
        <v>184.84482134227935</v>
      </c>
      <c r="D143" s="5">
        <f t="shared" si="6"/>
        <v>55.453446402683802</v>
      </c>
      <c r="E143" s="5" t="s">
        <v>140</v>
      </c>
    </row>
    <row r="144" spans="1:5" x14ac:dyDescent="0.25">
      <c r="A144" s="6" t="s">
        <v>141</v>
      </c>
      <c r="B144" s="5">
        <f t="shared" si="7"/>
        <v>9297.6945135166516</v>
      </c>
      <c r="C144" s="5">
        <f t="shared" si="8"/>
        <v>185.95389027033303</v>
      </c>
      <c r="D144" s="5">
        <f t="shared" si="6"/>
        <v>55.786167081099912</v>
      </c>
      <c r="E144" s="5" t="s">
        <v>141</v>
      </c>
    </row>
    <row r="145" spans="1:5" x14ac:dyDescent="0.25">
      <c r="A145" s="6" t="s">
        <v>142</v>
      </c>
      <c r="B145" s="5">
        <f t="shared" si="7"/>
        <v>9353.4806805977514</v>
      </c>
      <c r="C145" s="5">
        <f t="shared" si="8"/>
        <v>187.06961361195502</v>
      </c>
      <c r="D145" s="5">
        <f t="shared" si="6"/>
        <v>56.120884083586503</v>
      </c>
      <c r="E145" s="5" t="s">
        <v>142</v>
      </c>
    </row>
    <row r="146" spans="1:5" x14ac:dyDescent="0.25">
      <c r="A146" s="6" t="s">
        <v>143</v>
      </c>
      <c r="B146" s="5">
        <f t="shared" si="7"/>
        <v>9409.6015646813375</v>
      </c>
      <c r="C146" s="5">
        <f t="shared" si="8"/>
        <v>188.19203129362674</v>
      </c>
      <c r="D146" s="5">
        <f t="shared" si="6"/>
        <v>56.457609388088024</v>
      </c>
      <c r="E146" s="5" t="s">
        <v>143</v>
      </c>
    </row>
    <row r="147" spans="1:5" x14ac:dyDescent="0.25">
      <c r="A147" s="6" t="s">
        <v>144</v>
      </c>
      <c r="B147" s="5">
        <f t="shared" si="7"/>
        <v>9466.0591740694254</v>
      </c>
      <c r="C147" s="5">
        <f t="shared" si="8"/>
        <v>189.32118348138852</v>
      </c>
      <c r="D147" s="5">
        <f t="shared" si="6"/>
        <v>56.796355044416551</v>
      </c>
      <c r="E147" s="5" t="s">
        <v>144</v>
      </c>
    </row>
    <row r="148" spans="1:5" x14ac:dyDescent="0.25">
      <c r="A148" s="6" t="s">
        <v>145</v>
      </c>
      <c r="B148" s="5">
        <f t="shared" si="7"/>
        <v>9522.8555291138418</v>
      </c>
      <c r="C148" s="5">
        <f t="shared" si="8"/>
        <v>190.45711058227684</v>
      </c>
      <c r="D148" s="5">
        <f t="shared" si="6"/>
        <v>57.137133174683051</v>
      </c>
      <c r="E148" s="5" t="s">
        <v>145</v>
      </c>
    </row>
    <row r="149" spans="1:5" x14ac:dyDescent="0.25">
      <c r="A149" s="6" t="s">
        <v>146</v>
      </c>
      <c r="B149" s="5">
        <f t="shared" si="7"/>
        <v>9579.992662288525</v>
      </c>
      <c r="C149" s="5">
        <f t="shared" si="8"/>
        <v>191.5998532457705</v>
      </c>
      <c r="D149" s="5">
        <f t="shared" si="6"/>
        <v>57.479955973731151</v>
      </c>
      <c r="E149" s="5" t="s">
        <v>146</v>
      </c>
    </row>
    <row r="150" spans="1:5" x14ac:dyDescent="0.25">
      <c r="A150" s="6" t="s">
        <v>147</v>
      </c>
      <c r="B150" s="5">
        <f t="shared" si="7"/>
        <v>9637.4726182622562</v>
      </c>
      <c r="C150" s="5">
        <f t="shared" si="8"/>
        <v>192.74945236524513</v>
      </c>
      <c r="D150" s="5">
        <f t="shared" si="6"/>
        <v>57.824835709573534</v>
      </c>
      <c r="E150" s="5" t="s">
        <v>147</v>
      </c>
    </row>
    <row r="151" spans="1:5" x14ac:dyDescent="0.25">
      <c r="A151" s="6" t="s">
        <v>148</v>
      </c>
      <c r="B151" s="5">
        <f t="shared" si="7"/>
        <v>9695.2974539718289</v>
      </c>
      <c r="C151" s="5">
        <f t="shared" si="8"/>
        <v>193.9059490794366</v>
      </c>
      <c r="D151" s="5">
        <f t="shared" si="6"/>
        <v>58.171784723830974</v>
      </c>
      <c r="E151" s="5" t="s">
        <v>148</v>
      </c>
    </row>
    <row r="152" spans="1:5" x14ac:dyDescent="0.25">
      <c r="A152" s="6" t="s">
        <v>149</v>
      </c>
      <c r="B152" s="5">
        <f t="shared" si="7"/>
        <v>9753.4692386956594</v>
      </c>
      <c r="C152" s="5">
        <f t="shared" si="8"/>
        <v>195.06938477391319</v>
      </c>
      <c r="D152" s="5">
        <f t="shared" si="6"/>
        <v>58.520815432173954</v>
      </c>
      <c r="E152" s="5" t="s">
        <v>149</v>
      </c>
    </row>
    <row r="153" spans="1:5" x14ac:dyDescent="0.25">
      <c r="A153" s="6" t="s">
        <v>150</v>
      </c>
      <c r="B153" s="5">
        <f t="shared" si="7"/>
        <v>9811.990054127833</v>
      </c>
      <c r="C153" s="5">
        <f t="shared" si="8"/>
        <v>196.23980108255665</v>
      </c>
      <c r="D153" s="5">
        <f t="shared" si="6"/>
        <v>58.871940324766996</v>
      </c>
      <c r="E153" s="5" t="s">
        <v>150</v>
      </c>
    </row>
    <row r="154" spans="1:5" x14ac:dyDescent="0.25">
      <c r="A154" s="6" t="s">
        <v>151</v>
      </c>
      <c r="B154" s="5">
        <f t="shared" si="7"/>
        <v>9870.8619944525999</v>
      </c>
      <c r="C154" s="5">
        <f t="shared" si="8"/>
        <v>197.41723988905201</v>
      </c>
      <c r="D154" s="5">
        <f t="shared" si="6"/>
        <v>59.2251719667156</v>
      </c>
      <c r="E154" s="5" t="s">
        <v>151</v>
      </c>
    </row>
    <row r="155" spans="1:5" x14ac:dyDescent="0.25">
      <c r="A155" s="6" t="s">
        <v>152</v>
      </c>
      <c r="B155" s="5">
        <f t="shared" si="7"/>
        <v>9930.0871664193146</v>
      </c>
      <c r="C155" s="5">
        <f t="shared" si="8"/>
        <v>198.60174332838631</v>
      </c>
      <c r="D155" s="5">
        <f t="shared" si="6"/>
        <v>59.580522998515889</v>
      </c>
      <c r="E155" s="5" t="s">
        <v>152</v>
      </c>
    </row>
    <row r="156" spans="1:5" x14ac:dyDescent="0.25">
      <c r="A156" s="6" t="s">
        <v>153</v>
      </c>
      <c r="B156" s="5">
        <f t="shared" si="7"/>
        <v>9989.6676894178308</v>
      </c>
      <c r="C156" s="5">
        <f t="shared" si="8"/>
        <v>199.79335378835663</v>
      </c>
      <c r="D156" s="5">
        <f t="shared" si="6"/>
        <v>59.938006136506985</v>
      </c>
      <c r="E156" s="5" t="s">
        <v>153</v>
      </c>
    </row>
    <row r="157" spans="1:5" x14ac:dyDescent="0.25">
      <c r="A157" s="6" t="s">
        <v>154</v>
      </c>
      <c r="B157" s="5">
        <f t="shared" si="7"/>
        <v>10049.605695554337</v>
      </c>
      <c r="C157" s="5">
        <f t="shared" si="8"/>
        <v>200.99211391108676</v>
      </c>
      <c r="D157" s="5">
        <f t="shared" si="6"/>
        <v>60.297634173326024</v>
      </c>
      <c r="E157" s="5" t="s">
        <v>154</v>
      </c>
    </row>
    <row r="158" spans="1:5" x14ac:dyDescent="0.25">
      <c r="A158" s="6" t="s">
        <v>155</v>
      </c>
      <c r="B158" s="5">
        <f t="shared" si="7"/>
        <v>10109.903329727664</v>
      </c>
      <c r="C158" s="5">
        <f t="shared" si="8"/>
        <v>202.19806659455327</v>
      </c>
      <c r="D158" s="5">
        <f t="shared" si="6"/>
        <v>60.659419978365975</v>
      </c>
      <c r="E158" s="5" t="s">
        <v>155</v>
      </c>
    </row>
    <row r="159" spans="1:5" x14ac:dyDescent="0.25">
      <c r="A159" s="6" t="s">
        <v>156</v>
      </c>
      <c r="B159" s="5">
        <f t="shared" si="7"/>
        <v>10170.56274970603</v>
      </c>
      <c r="C159" s="5">
        <f t="shared" si="8"/>
        <v>203.41125499412061</v>
      </c>
      <c r="D159" s="5">
        <f t="shared" si="6"/>
        <v>61.023376498236182</v>
      </c>
      <c r="E159" s="5" t="s">
        <v>156</v>
      </c>
    </row>
    <row r="160" spans="1:5" x14ac:dyDescent="0.25">
      <c r="A160" s="6" t="s">
        <v>157</v>
      </c>
      <c r="B160" s="5">
        <f t="shared" si="7"/>
        <v>10231.586126204267</v>
      </c>
      <c r="C160" s="5">
        <f t="shared" si="8"/>
        <v>204.63172252408535</v>
      </c>
      <c r="D160" s="5">
        <f t="shared" si="6"/>
        <v>61.3895167572256</v>
      </c>
      <c r="E160" s="5" t="s">
        <v>157</v>
      </c>
    </row>
    <row r="161" spans="1:5" x14ac:dyDescent="0.25">
      <c r="A161" s="6" t="s">
        <v>158</v>
      </c>
      <c r="B161" s="5">
        <f t="shared" si="7"/>
        <v>10292.975642961494</v>
      </c>
      <c r="C161" s="5">
        <f t="shared" si="8"/>
        <v>205.85951285922988</v>
      </c>
      <c r="D161" s="5">
        <f t="shared" si="6"/>
        <v>61.757853857768964</v>
      </c>
      <c r="E161" s="5" t="s">
        <v>158</v>
      </c>
    </row>
    <row r="162" spans="1:5" x14ac:dyDescent="0.25">
      <c r="A162" s="6" t="s">
        <v>159</v>
      </c>
      <c r="B162" s="5">
        <f t="shared" si="7"/>
        <v>10354.733496819263</v>
      </c>
      <c r="C162" s="5">
        <f t="shared" si="8"/>
        <v>207.09466993638526</v>
      </c>
      <c r="D162" s="5">
        <f t="shared" si="6"/>
        <v>62.128400980915572</v>
      </c>
      <c r="E162" s="5" t="s">
        <v>159</v>
      </c>
    </row>
    <row r="163" spans="1:5" x14ac:dyDescent="0.25">
      <c r="A163" s="6" t="s">
        <v>160</v>
      </c>
      <c r="B163" s="5">
        <f t="shared" si="7"/>
        <v>10416.861897800178</v>
      </c>
      <c r="C163" s="5">
        <f t="shared" si="8"/>
        <v>208.33723795600355</v>
      </c>
      <c r="D163" s="5">
        <f t="shared" si="6"/>
        <v>62.501171386801062</v>
      </c>
      <c r="E163" s="5" t="s">
        <v>160</v>
      </c>
    </row>
    <row r="164" spans="1:5" x14ac:dyDescent="0.25">
      <c r="A164" s="6" t="s">
        <v>161</v>
      </c>
      <c r="B164" s="5">
        <f t="shared" si="7"/>
        <v>10479.363069186978</v>
      </c>
      <c r="C164" s="5">
        <f t="shared" si="8"/>
        <v>209.58726138373959</v>
      </c>
      <c r="D164" s="5">
        <f t="shared" si="6"/>
        <v>62.876178415121871</v>
      </c>
      <c r="E164" s="5" t="s">
        <v>161</v>
      </c>
    </row>
    <row r="165" spans="1:5" x14ac:dyDescent="0.25">
      <c r="A165" s="6" t="s">
        <v>162</v>
      </c>
      <c r="B165" s="5">
        <f t="shared" si="7"/>
        <v>10542.2392476021</v>
      </c>
      <c r="C165" s="5">
        <f t="shared" si="8"/>
        <v>210.844784952042</v>
      </c>
      <c r="D165" s="5">
        <f t="shared" si="6"/>
        <v>63.253435485612599</v>
      </c>
      <c r="E165" s="5" t="s">
        <v>162</v>
      </c>
    </row>
    <row r="166" spans="1:5" x14ac:dyDescent="0.25">
      <c r="A166" s="6" t="s">
        <v>163</v>
      </c>
      <c r="B166" s="5">
        <f t="shared" si="7"/>
        <v>10605.492683087712</v>
      </c>
      <c r="C166" s="5">
        <f t="shared" si="8"/>
        <v>212.10985366175424</v>
      </c>
      <c r="D166" s="5">
        <f t="shared" si="6"/>
        <v>63.632956098526272</v>
      </c>
      <c r="E166" s="5" t="s">
        <v>163</v>
      </c>
    </row>
    <row r="167" spans="1:5" x14ac:dyDescent="0.25">
      <c r="A167" s="6" t="s">
        <v>164</v>
      </c>
      <c r="B167" s="5">
        <f t="shared" si="7"/>
        <v>10669.125639186239</v>
      </c>
      <c r="C167" s="5">
        <f t="shared" si="8"/>
        <v>213.38251278372479</v>
      </c>
      <c r="D167" s="5">
        <f t="shared" si="6"/>
        <v>64.014753835117432</v>
      </c>
      <c r="E167" s="5" t="s">
        <v>164</v>
      </c>
    </row>
    <row r="168" spans="1:5" x14ac:dyDescent="0.25">
      <c r="A168" s="6" t="s">
        <v>165</v>
      </c>
      <c r="B168" s="5">
        <f t="shared" si="7"/>
        <v>10733.140393021356</v>
      </c>
      <c r="C168" s="5">
        <f t="shared" si="8"/>
        <v>214.66280786042714</v>
      </c>
      <c r="D168" s="5">
        <f t="shared" si="6"/>
        <v>64.398842358128135</v>
      </c>
      <c r="E168" s="5" t="s">
        <v>165</v>
      </c>
    </row>
    <row r="169" spans="1:5" x14ac:dyDescent="0.25">
      <c r="A169" s="6" t="s">
        <v>166</v>
      </c>
      <c r="B169" s="5">
        <f t="shared" si="7"/>
        <v>10797.539235379485</v>
      </c>
      <c r="C169" s="5">
        <f t="shared" si="8"/>
        <v>215.95078470758972</v>
      </c>
      <c r="D169" s="5">
        <f t="shared" si="6"/>
        <v>64.785235412276919</v>
      </c>
      <c r="E169" s="5" t="s">
        <v>166</v>
      </c>
    </row>
    <row r="170" spans="1:5" x14ac:dyDescent="0.25">
      <c r="A170" s="6" t="s">
        <v>167</v>
      </c>
      <c r="B170" s="5">
        <f t="shared" si="7"/>
        <v>10862.324470791762</v>
      </c>
      <c r="C170" s="5">
        <f t="shared" si="8"/>
        <v>217.24648941583524</v>
      </c>
      <c r="D170" s="5">
        <f t="shared" si="6"/>
        <v>65.173946824750573</v>
      </c>
      <c r="E170" s="5" t="s">
        <v>167</v>
      </c>
    </row>
    <row r="171" spans="1:5" x14ac:dyDescent="0.25">
      <c r="A171" s="6" t="s">
        <v>168</v>
      </c>
      <c r="B171" s="5">
        <f t="shared" si="7"/>
        <v>10927.498417616513</v>
      </c>
      <c r="C171" s="5">
        <f t="shared" si="8"/>
        <v>218.54996835233027</v>
      </c>
      <c r="D171" s="5">
        <f t="shared" si="6"/>
        <v>65.564990505699072</v>
      </c>
      <c r="E171" s="5" t="s">
        <v>168</v>
      </c>
    </row>
    <row r="172" spans="1:5" x14ac:dyDescent="0.25">
      <c r="A172" s="6" t="s">
        <v>169</v>
      </c>
      <c r="B172" s="5">
        <f t="shared" si="7"/>
        <v>10993.063408122212</v>
      </c>
      <c r="C172" s="5">
        <f t="shared" si="8"/>
        <v>219.86126816244425</v>
      </c>
      <c r="D172" s="5">
        <f t="shared" si="6"/>
        <v>65.958380448733266</v>
      </c>
      <c r="E172" s="5" t="s">
        <v>169</v>
      </c>
    </row>
    <row r="173" spans="1:5" x14ac:dyDescent="0.25">
      <c r="A173" s="6" t="s">
        <v>170</v>
      </c>
      <c r="B173" s="5">
        <f t="shared" si="7"/>
        <v>11059.021788570946</v>
      </c>
      <c r="C173" s="5">
        <f t="shared" si="8"/>
        <v>221.18043577141893</v>
      </c>
      <c r="D173" s="5">
        <f t="shared" si="6"/>
        <v>66.35413073142567</v>
      </c>
      <c r="E173" s="5" t="s">
        <v>170</v>
      </c>
    </row>
    <row r="174" spans="1:5" x14ac:dyDescent="0.25">
      <c r="A174" s="6" t="s">
        <v>171</v>
      </c>
      <c r="B174" s="5">
        <f t="shared" si="7"/>
        <v>11125.375919302372</v>
      </c>
      <c r="C174" s="5">
        <f t="shared" si="8"/>
        <v>222.50751838604745</v>
      </c>
      <c r="D174" s="5">
        <f t="shared" si="6"/>
        <v>66.752255515814227</v>
      </c>
      <c r="E174" s="5" t="s">
        <v>171</v>
      </c>
    </row>
    <row r="175" spans="1:5" x14ac:dyDescent="0.25">
      <c r="A175" s="6" t="s">
        <v>172</v>
      </c>
      <c r="B175" s="5">
        <f t="shared" si="7"/>
        <v>11192.128174818186</v>
      </c>
      <c r="C175" s="5">
        <f t="shared" si="8"/>
        <v>223.84256349636374</v>
      </c>
      <c r="D175" s="5">
        <f t="shared" si="6"/>
        <v>67.152769048909121</v>
      </c>
      <c r="E175" s="5" t="s">
        <v>172</v>
      </c>
    </row>
    <row r="176" spans="1:5" x14ac:dyDescent="0.25">
      <c r="A176" s="6" t="s">
        <v>173</v>
      </c>
      <c r="B176" s="5">
        <f t="shared" si="7"/>
        <v>11259.280943867096</v>
      </c>
      <c r="C176" s="5">
        <f t="shared" si="8"/>
        <v>225.18561887734191</v>
      </c>
      <c r="D176" s="5">
        <f t="shared" si="6"/>
        <v>67.555685663202567</v>
      </c>
      <c r="E176" s="5" t="s">
        <v>173</v>
      </c>
    </row>
    <row r="177" spans="1:5" x14ac:dyDescent="0.25">
      <c r="A177" s="6" t="s">
        <v>174</v>
      </c>
      <c r="B177" s="5">
        <f t="shared" si="7"/>
        <v>11326.836629530299</v>
      </c>
      <c r="C177" s="5">
        <f t="shared" si="8"/>
        <v>226.53673259060596</v>
      </c>
      <c r="D177" s="5">
        <f t="shared" si="6"/>
        <v>67.961019777181789</v>
      </c>
      <c r="E177" s="5" t="s">
        <v>174</v>
      </c>
    </row>
    <row r="178" spans="1:5" x14ac:dyDescent="0.25">
      <c r="A178" s="6" t="s">
        <v>175</v>
      </c>
      <c r="B178" s="5">
        <f t="shared" si="7"/>
        <v>11394.79764930748</v>
      </c>
      <c r="C178" s="5">
        <f t="shared" si="8"/>
        <v>227.89595298614961</v>
      </c>
      <c r="D178" s="5">
        <f t="shared" si="6"/>
        <v>68.36878589584488</v>
      </c>
      <c r="E178" s="5" t="s">
        <v>175</v>
      </c>
    </row>
    <row r="179" spans="1:5" x14ac:dyDescent="0.25">
      <c r="A179" s="6" t="s">
        <v>176</v>
      </c>
      <c r="B179" s="5">
        <f t="shared" si="7"/>
        <v>11463.166435203326</v>
      </c>
      <c r="C179" s="5">
        <f t="shared" si="8"/>
        <v>229.26332870406651</v>
      </c>
      <c r="D179" s="5">
        <f t="shared" si="6"/>
        <v>68.778998611219947</v>
      </c>
      <c r="E179" s="5" t="s">
        <v>176</v>
      </c>
    </row>
    <row r="180" spans="1:5" x14ac:dyDescent="0.25">
      <c r="A180" s="6" t="s">
        <v>177</v>
      </c>
      <c r="B180" s="5">
        <f t="shared" si="7"/>
        <v>11531.945433814546</v>
      </c>
      <c r="C180" s="5">
        <f t="shared" si="8"/>
        <v>230.63890867629092</v>
      </c>
      <c r="D180" s="5">
        <f t="shared" si="6"/>
        <v>69.19167260288728</v>
      </c>
      <c r="E180" s="5" t="s">
        <v>177</v>
      </c>
    </row>
    <row r="181" spans="1:5" x14ac:dyDescent="0.25">
      <c r="A181" s="6" t="s">
        <v>178</v>
      </c>
      <c r="B181" s="5">
        <f t="shared" si="7"/>
        <v>11601.137106417433</v>
      </c>
      <c r="C181" s="5">
        <f t="shared" si="8"/>
        <v>232.02274212834865</v>
      </c>
      <c r="D181" s="5">
        <f t="shared" si="6"/>
        <v>69.606822638504596</v>
      </c>
      <c r="E181" s="5" t="s">
        <v>178</v>
      </c>
    </row>
    <row r="182" spans="1:5" x14ac:dyDescent="0.25">
      <c r="A182" s="6" t="s">
        <v>179</v>
      </c>
      <c r="B182" s="5">
        <f t="shared" si="7"/>
        <v>11670.743929055938</v>
      </c>
      <c r="C182" s="5">
        <f t="shared" si="8"/>
        <v>233.41487858111876</v>
      </c>
      <c r="D182" s="5">
        <f t="shared" si="6"/>
        <v>70.024463574335627</v>
      </c>
      <c r="E182" s="5" t="s">
        <v>179</v>
      </c>
    </row>
    <row r="183" spans="1:5" x14ac:dyDescent="0.25">
      <c r="A183" s="6" t="s">
        <v>180</v>
      </c>
      <c r="B183" s="5">
        <f t="shared" si="7"/>
        <v>11740.768392630273</v>
      </c>
      <c r="C183" s="5">
        <f t="shared" si="8"/>
        <v>234.81536785260545</v>
      </c>
      <c r="D183" s="5">
        <f t="shared" si="6"/>
        <v>70.444610355781634</v>
      </c>
      <c r="E183" s="5" t="s">
        <v>180</v>
      </c>
    </row>
    <row r="184" spans="1:5" x14ac:dyDescent="0.25">
      <c r="A184" s="6" t="s">
        <v>181</v>
      </c>
      <c r="B184" s="5">
        <f t="shared" si="7"/>
        <v>11811.213002986055</v>
      </c>
      <c r="C184" s="5">
        <f t="shared" si="8"/>
        <v>236.2242600597211</v>
      </c>
      <c r="D184" s="5">
        <f t="shared" si="6"/>
        <v>70.867278017916334</v>
      </c>
      <c r="E184" s="5" t="s">
        <v>181</v>
      </c>
    </row>
    <row r="185" spans="1:5" x14ac:dyDescent="0.25">
      <c r="A185" s="6" t="s">
        <v>182</v>
      </c>
      <c r="B185" s="5">
        <f t="shared" si="7"/>
        <v>11882.080281003971</v>
      </c>
      <c r="C185" s="5">
        <f t="shared" si="8"/>
        <v>237.64160562007942</v>
      </c>
      <c r="D185" s="5">
        <f t="shared" si="6"/>
        <v>71.29248168602382</v>
      </c>
      <c r="E185" s="5" t="s">
        <v>182</v>
      </c>
    </row>
    <row r="186" spans="1:5" x14ac:dyDescent="0.25">
      <c r="A186" s="6" t="s">
        <v>183</v>
      </c>
      <c r="B186" s="5">
        <f t="shared" si="7"/>
        <v>11953.372762689994</v>
      </c>
      <c r="C186" s="5">
        <f t="shared" si="8"/>
        <v>239.06745525379989</v>
      </c>
      <c r="D186" s="5">
        <f t="shared" si="6"/>
        <v>71.720236576139968</v>
      </c>
      <c r="E186" s="5" t="s">
        <v>183</v>
      </c>
    </row>
    <row r="187" spans="1:5" x14ac:dyDescent="0.25">
      <c r="A187" s="6" t="s">
        <v>184</v>
      </c>
      <c r="B187" s="5">
        <f t="shared" si="7"/>
        <v>12025.092999266135</v>
      </c>
      <c r="C187" s="5">
        <f t="shared" si="8"/>
        <v>240.50185998532271</v>
      </c>
      <c r="D187" s="5">
        <f t="shared" si="6"/>
        <v>72.150557995596813</v>
      </c>
      <c r="E187" s="5" t="s">
        <v>184</v>
      </c>
    </row>
    <row r="188" spans="1:5" x14ac:dyDescent="0.25">
      <c r="A188" s="6" t="s">
        <v>185</v>
      </c>
      <c r="B188" s="5">
        <f t="shared" si="7"/>
        <v>12097.243557261732</v>
      </c>
      <c r="C188" s="5">
        <f t="shared" si="8"/>
        <v>241.94487114523466</v>
      </c>
      <c r="D188" s="5">
        <f t="shared" si="6"/>
        <v>72.583461343570391</v>
      </c>
      <c r="E188" s="5" t="s">
        <v>185</v>
      </c>
    </row>
    <row r="189" spans="1:5" x14ac:dyDescent="0.25">
      <c r="A189" s="6" t="s">
        <v>186</v>
      </c>
      <c r="B189" s="5">
        <f t="shared" si="7"/>
        <v>12169.827018605303</v>
      </c>
      <c r="C189" s="5">
        <f t="shared" si="8"/>
        <v>243.39654037210607</v>
      </c>
      <c r="D189" s="5">
        <f t="shared" si="6"/>
        <v>73.018962111631822</v>
      </c>
      <c r="E189" s="5" t="s">
        <v>186</v>
      </c>
    </row>
    <row r="190" spans="1:5" x14ac:dyDescent="0.25">
      <c r="A190" s="6" t="s">
        <v>187</v>
      </c>
      <c r="B190" s="5">
        <f t="shared" si="7"/>
        <v>12242.845980716935</v>
      </c>
      <c r="C190" s="5">
        <f t="shared" si="8"/>
        <v>244.85691961433869</v>
      </c>
      <c r="D190" s="5">
        <f t="shared" si="6"/>
        <v>73.457075884301602</v>
      </c>
      <c r="E190" s="5" t="s">
        <v>187</v>
      </c>
    </row>
    <row r="191" spans="1:5" x14ac:dyDescent="0.25">
      <c r="A191" s="6" t="s">
        <v>188</v>
      </c>
      <c r="B191" s="5">
        <f t="shared" si="7"/>
        <v>12316.303056601237</v>
      </c>
      <c r="C191" s="5">
        <f t="shared" si="8"/>
        <v>246.32606113202473</v>
      </c>
      <c r="D191" s="5">
        <f t="shared" si="6"/>
        <v>73.897818339607412</v>
      </c>
      <c r="E191" s="5" t="s">
        <v>188</v>
      </c>
    </row>
    <row r="192" spans="1:5" x14ac:dyDescent="0.25">
      <c r="A192" s="6" t="s">
        <v>189</v>
      </c>
      <c r="B192" s="5">
        <f t="shared" si="7"/>
        <v>12390.200874940843</v>
      </c>
      <c r="C192" s="5">
        <f t="shared" si="8"/>
        <v>247.80401749881688</v>
      </c>
      <c r="D192" s="5">
        <f t="shared" si="6"/>
        <v>74.341205249645057</v>
      </c>
      <c r="E192" s="5" t="s">
        <v>189</v>
      </c>
    </row>
    <row r="193" spans="1:5" x14ac:dyDescent="0.25">
      <c r="A193" s="6" t="s">
        <v>190</v>
      </c>
      <c r="B193" s="5">
        <f t="shared" si="7"/>
        <v>12464.542080190487</v>
      </c>
      <c r="C193" s="5">
        <f t="shared" si="8"/>
        <v>249.29084160380975</v>
      </c>
      <c r="D193" s="5">
        <f t="shared" si="6"/>
        <v>74.787252481142929</v>
      </c>
      <c r="E193" s="5" t="s">
        <v>190</v>
      </c>
    </row>
    <row r="194" spans="1:5" x14ac:dyDescent="0.25">
      <c r="A194" s="6" t="s">
        <v>191</v>
      </c>
      <c r="B194" s="5">
        <f t="shared" si="7"/>
        <v>12539.32933267163</v>
      </c>
      <c r="C194" s="5">
        <f t="shared" si="8"/>
        <v>250.78658665343261</v>
      </c>
      <c r="D194" s="5">
        <f t="shared" si="6"/>
        <v>75.235975996029779</v>
      </c>
      <c r="E194" s="5" t="s">
        <v>191</v>
      </c>
    </row>
    <row r="195" spans="1:5" x14ac:dyDescent="0.25">
      <c r="A195" s="6" t="s">
        <v>192</v>
      </c>
      <c r="B195" s="5">
        <f t="shared" si="7"/>
        <v>12614.565308667659</v>
      </c>
      <c r="C195" s="5">
        <f t="shared" si="8"/>
        <v>252.29130617335321</v>
      </c>
      <c r="D195" s="5">
        <f t="shared" si="6"/>
        <v>75.687391852005959</v>
      </c>
      <c r="E195" s="5" t="s">
        <v>192</v>
      </c>
    </row>
    <row r="196" spans="1:5" x14ac:dyDescent="0.25">
      <c r="A196" s="6" t="s">
        <v>193</v>
      </c>
      <c r="B196" s="5">
        <f t="shared" si="7"/>
        <v>12690.252700519666</v>
      </c>
      <c r="C196" s="5">
        <f t="shared" si="8"/>
        <v>253.80505401039332</v>
      </c>
      <c r="D196" s="5">
        <f t="shared" si="6"/>
        <v>76.141516203117988</v>
      </c>
      <c r="E196" s="5" t="s">
        <v>193</v>
      </c>
    </row>
    <row r="197" spans="1:5" x14ac:dyDescent="0.25">
      <c r="A197" s="6" t="s">
        <v>194</v>
      </c>
      <c r="B197" s="5">
        <f t="shared" si="7"/>
        <v>12766.394216722783</v>
      </c>
      <c r="C197" s="5">
        <f t="shared" si="8"/>
        <v>255.32788433445566</v>
      </c>
      <c r="D197" s="5">
        <f t="shared" si="6"/>
        <v>76.598365300336695</v>
      </c>
      <c r="E197" s="5" t="s">
        <v>194</v>
      </c>
    </row>
    <row r="198" spans="1:5" x14ac:dyDescent="0.25">
      <c r="A198" s="6" t="s">
        <v>195</v>
      </c>
      <c r="B198" s="5">
        <f t="shared" si="7"/>
        <v>12842.99258202312</v>
      </c>
      <c r="C198" s="5">
        <f t="shared" si="8"/>
        <v>256.85985164046241</v>
      </c>
      <c r="D198" s="5">
        <f t="shared" ref="D198:D261" si="9">C198*$B$2*$E$2</f>
        <v>77.057955492138717</v>
      </c>
      <c r="E198" s="5" t="s">
        <v>195</v>
      </c>
    </row>
    <row r="199" spans="1:5" x14ac:dyDescent="0.25">
      <c r="A199" s="6" t="s">
        <v>196</v>
      </c>
      <c r="B199" s="5">
        <f t="shared" si="7"/>
        <v>12920.050537515259</v>
      </c>
      <c r="C199" s="5">
        <f t="shared" si="8"/>
        <v>258.4010107503052</v>
      </c>
      <c r="D199" s="5">
        <f t="shared" si="9"/>
        <v>77.520303225091553</v>
      </c>
      <c r="E199" s="5" t="s">
        <v>196</v>
      </c>
    </row>
    <row r="200" spans="1:5" x14ac:dyDescent="0.25">
      <c r="A200" s="6" t="s">
        <v>197</v>
      </c>
      <c r="B200" s="5">
        <f t="shared" si="7"/>
        <v>12997.570840740351</v>
      </c>
      <c r="C200" s="5">
        <f t="shared" si="8"/>
        <v>259.95141681480703</v>
      </c>
      <c r="D200" s="5">
        <f t="shared" si="9"/>
        <v>77.98542504444211</v>
      </c>
      <c r="E200" s="5" t="s">
        <v>197</v>
      </c>
    </row>
    <row r="201" spans="1:5" x14ac:dyDescent="0.25">
      <c r="A201" s="6" t="s">
        <v>198</v>
      </c>
      <c r="B201" s="5">
        <f t="shared" ref="B201:B264" si="10">B200+D200</f>
        <v>13075.556265784793</v>
      </c>
      <c r="C201" s="5">
        <f t="shared" ref="C201:C264" si="11">B201*$C$2</f>
        <v>261.51112531569589</v>
      </c>
      <c r="D201" s="5">
        <f t="shared" si="9"/>
        <v>78.453337594708771</v>
      </c>
      <c r="E201" s="5" t="s">
        <v>198</v>
      </c>
    </row>
    <row r="202" spans="1:5" x14ac:dyDescent="0.25">
      <c r="A202" s="6" t="s">
        <v>199</v>
      </c>
      <c r="B202" s="5">
        <f t="shared" si="10"/>
        <v>13154.009603379502</v>
      </c>
      <c r="C202" s="5">
        <f t="shared" si="11"/>
        <v>263.08019206759002</v>
      </c>
      <c r="D202" s="5">
        <f t="shared" si="9"/>
        <v>78.924057620276997</v>
      </c>
      <c r="E202" s="5" t="s">
        <v>199</v>
      </c>
    </row>
    <row r="203" spans="1:5" x14ac:dyDescent="0.25">
      <c r="A203" s="6" t="s">
        <v>200</v>
      </c>
      <c r="B203" s="5">
        <f t="shared" si="10"/>
        <v>13232.933660999779</v>
      </c>
      <c r="C203" s="5">
        <f t="shared" si="11"/>
        <v>264.65867321999559</v>
      </c>
      <c r="D203" s="5">
        <f t="shared" si="9"/>
        <v>79.397601965998675</v>
      </c>
      <c r="E203" s="5" t="s">
        <v>200</v>
      </c>
    </row>
    <row r="204" spans="1:5" x14ac:dyDescent="0.25">
      <c r="A204" s="6" t="s">
        <v>201</v>
      </c>
      <c r="B204" s="5">
        <f t="shared" si="10"/>
        <v>13312.331262965778</v>
      </c>
      <c r="C204" s="5">
        <f t="shared" si="11"/>
        <v>266.24662525931558</v>
      </c>
      <c r="D204" s="5">
        <f t="shared" si="9"/>
        <v>79.873987577794665</v>
      </c>
      <c r="E204" s="5" t="s">
        <v>201</v>
      </c>
    </row>
    <row r="205" spans="1:5" x14ac:dyDescent="0.25">
      <c r="A205" s="6" t="s">
        <v>202</v>
      </c>
      <c r="B205" s="5">
        <f t="shared" si="10"/>
        <v>13392.205250543573</v>
      </c>
      <c r="C205" s="5">
        <f t="shared" si="11"/>
        <v>267.84410501087149</v>
      </c>
      <c r="D205" s="5">
        <f t="shared" si="9"/>
        <v>80.353231503261441</v>
      </c>
      <c r="E205" s="5" t="s">
        <v>202</v>
      </c>
    </row>
    <row r="206" spans="1:5" x14ac:dyDescent="0.25">
      <c r="A206" s="6" t="s">
        <v>203</v>
      </c>
      <c r="B206" s="5">
        <f t="shared" si="10"/>
        <v>13472.558482046834</v>
      </c>
      <c r="C206" s="5">
        <f t="shared" si="11"/>
        <v>269.45116964093666</v>
      </c>
      <c r="D206" s="5">
        <f t="shared" si="9"/>
        <v>80.835350892280999</v>
      </c>
      <c r="E206" s="5" t="s">
        <v>203</v>
      </c>
    </row>
    <row r="207" spans="1:5" x14ac:dyDescent="0.25">
      <c r="A207" s="6" t="s">
        <v>204</v>
      </c>
      <c r="B207" s="5">
        <f t="shared" si="10"/>
        <v>13553.393832939115</v>
      </c>
      <c r="C207" s="5">
        <f t="shared" si="11"/>
        <v>271.06787665878232</v>
      </c>
      <c r="D207" s="5">
        <f t="shared" si="9"/>
        <v>81.320362997634689</v>
      </c>
      <c r="E207" s="5" t="s">
        <v>204</v>
      </c>
    </row>
    <row r="208" spans="1:5" x14ac:dyDescent="0.25">
      <c r="A208" s="6" t="s">
        <v>205</v>
      </c>
      <c r="B208" s="5">
        <f t="shared" si="10"/>
        <v>13634.714195936749</v>
      </c>
      <c r="C208" s="5">
        <f t="shared" si="11"/>
        <v>272.69428391873498</v>
      </c>
      <c r="D208" s="5">
        <f t="shared" si="9"/>
        <v>81.808285175620497</v>
      </c>
      <c r="E208" s="5" t="s">
        <v>205</v>
      </c>
    </row>
    <row r="209" spans="1:5" x14ac:dyDescent="0.25">
      <c r="A209" s="6" t="s">
        <v>206</v>
      </c>
      <c r="B209" s="5">
        <f t="shared" si="10"/>
        <v>13716.52248111237</v>
      </c>
      <c r="C209" s="5">
        <f t="shared" si="11"/>
        <v>274.33044962224739</v>
      </c>
      <c r="D209" s="5">
        <f t="shared" si="9"/>
        <v>82.29913488667421</v>
      </c>
      <c r="E209" s="5" t="s">
        <v>206</v>
      </c>
    </row>
    <row r="210" spans="1:5" x14ac:dyDescent="0.25">
      <c r="A210" s="6" t="s">
        <v>207</v>
      </c>
      <c r="B210" s="5">
        <f t="shared" si="10"/>
        <v>13798.821615999044</v>
      </c>
      <c r="C210" s="5">
        <f t="shared" si="11"/>
        <v>275.97643231998092</v>
      </c>
      <c r="D210" s="5">
        <f t="shared" si="9"/>
        <v>82.792929695994275</v>
      </c>
      <c r="E210" s="5" t="s">
        <v>207</v>
      </c>
    </row>
    <row r="211" spans="1:5" x14ac:dyDescent="0.25">
      <c r="A211" s="6" t="s">
        <v>208</v>
      </c>
      <c r="B211" s="5">
        <f t="shared" si="10"/>
        <v>13881.614545695038</v>
      </c>
      <c r="C211" s="5">
        <f t="shared" si="11"/>
        <v>277.63229091390076</v>
      </c>
      <c r="D211" s="5">
        <f t="shared" si="9"/>
        <v>83.28968727417022</v>
      </c>
      <c r="E211" s="5" t="s">
        <v>208</v>
      </c>
    </row>
    <row r="212" spans="1:5" x14ac:dyDescent="0.25">
      <c r="A212" s="6" t="s">
        <v>209</v>
      </c>
      <c r="B212" s="5">
        <f t="shared" si="10"/>
        <v>13964.904232969207</v>
      </c>
      <c r="C212" s="5">
        <f t="shared" si="11"/>
        <v>279.29808465938413</v>
      </c>
      <c r="D212" s="5">
        <f t="shared" si="9"/>
        <v>83.789425397815236</v>
      </c>
      <c r="E212" s="5" t="s">
        <v>209</v>
      </c>
    </row>
    <row r="213" spans="1:5" x14ac:dyDescent="0.25">
      <c r="A213" s="6" t="s">
        <v>210</v>
      </c>
      <c r="B213" s="5">
        <f t="shared" si="10"/>
        <v>14048.693658367023</v>
      </c>
      <c r="C213" s="5">
        <f t="shared" si="11"/>
        <v>280.97387316734046</v>
      </c>
      <c r="D213" s="5">
        <f t="shared" si="9"/>
        <v>84.292161950202129</v>
      </c>
      <c r="E213" s="5" t="s">
        <v>210</v>
      </c>
    </row>
    <row r="214" spans="1:5" x14ac:dyDescent="0.25">
      <c r="A214" s="6" t="s">
        <v>211</v>
      </c>
      <c r="B214" s="5">
        <f t="shared" si="10"/>
        <v>14132.985820317224</v>
      </c>
      <c r="C214" s="5">
        <f t="shared" si="11"/>
        <v>282.6597164063445</v>
      </c>
      <c r="D214" s="5">
        <f t="shared" si="9"/>
        <v>84.797914921903342</v>
      </c>
      <c r="E214" s="5" t="s">
        <v>211</v>
      </c>
    </row>
    <row r="215" spans="1:5" x14ac:dyDescent="0.25">
      <c r="A215" s="6" t="s">
        <v>212</v>
      </c>
      <c r="B215" s="5">
        <f t="shared" si="10"/>
        <v>14217.783735239127</v>
      </c>
      <c r="C215" s="5">
        <f t="shared" si="11"/>
        <v>284.35567470478253</v>
      </c>
      <c r="D215" s="5">
        <f t="shared" si="9"/>
        <v>85.306702411434756</v>
      </c>
      <c r="E215" s="5" t="s">
        <v>212</v>
      </c>
    </row>
    <row r="216" spans="1:5" x14ac:dyDescent="0.25">
      <c r="A216" s="6" t="s">
        <v>213</v>
      </c>
      <c r="B216" s="5">
        <f t="shared" si="10"/>
        <v>14303.090437650562</v>
      </c>
      <c r="C216" s="5">
        <f t="shared" si="11"/>
        <v>286.06180875301123</v>
      </c>
      <c r="D216" s="5">
        <f t="shared" si="9"/>
        <v>85.818542625903362</v>
      </c>
      <c r="E216" s="5" t="s">
        <v>213</v>
      </c>
    </row>
    <row r="217" spans="1:5" x14ac:dyDescent="0.25">
      <c r="A217" s="6" t="s">
        <v>214</v>
      </c>
      <c r="B217" s="5">
        <f t="shared" si="10"/>
        <v>14388.908980276467</v>
      </c>
      <c r="C217" s="5">
        <f t="shared" si="11"/>
        <v>287.77817960552932</v>
      </c>
      <c r="D217" s="5">
        <f t="shared" si="9"/>
        <v>86.333453881658798</v>
      </c>
      <c r="E217" s="5" t="s">
        <v>214</v>
      </c>
    </row>
    <row r="218" spans="1:5" x14ac:dyDescent="0.25">
      <c r="A218" s="6" t="s">
        <v>215</v>
      </c>
      <c r="B218" s="5">
        <f t="shared" si="10"/>
        <v>14475.242434158125</v>
      </c>
      <c r="C218" s="5">
        <f t="shared" si="11"/>
        <v>289.50484868316249</v>
      </c>
      <c r="D218" s="5">
        <f t="shared" si="9"/>
        <v>86.851454604948742</v>
      </c>
      <c r="E218" s="5" t="s">
        <v>215</v>
      </c>
    </row>
    <row r="219" spans="1:5" x14ac:dyDescent="0.25">
      <c r="A219" s="6" t="s">
        <v>216</v>
      </c>
      <c r="B219" s="5">
        <f t="shared" si="10"/>
        <v>14562.093888763073</v>
      </c>
      <c r="C219" s="5">
        <f t="shared" si="11"/>
        <v>291.24187777526146</v>
      </c>
      <c r="D219" s="5">
        <f t="shared" si="9"/>
        <v>87.372563332578437</v>
      </c>
      <c r="E219" s="5" t="s">
        <v>216</v>
      </c>
    </row>
    <row r="220" spans="1:5" x14ac:dyDescent="0.25">
      <c r="A220" s="6" t="s">
        <v>217</v>
      </c>
      <c r="B220" s="5">
        <f t="shared" si="10"/>
        <v>14649.46645209565</v>
      </c>
      <c r="C220" s="5">
        <f t="shared" si="11"/>
        <v>292.98932904191304</v>
      </c>
      <c r="D220" s="5">
        <f t="shared" si="9"/>
        <v>87.896798712573911</v>
      </c>
      <c r="E220" s="5" t="s">
        <v>217</v>
      </c>
    </row>
    <row r="221" spans="1:5" x14ac:dyDescent="0.25">
      <c r="A221" s="6" t="s">
        <v>218</v>
      </c>
      <c r="B221" s="5">
        <f t="shared" si="10"/>
        <v>14737.363250808225</v>
      </c>
      <c r="C221" s="5">
        <f t="shared" si="11"/>
        <v>294.74726501616448</v>
      </c>
      <c r="D221" s="5">
        <f t="shared" si="9"/>
        <v>88.424179504849334</v>
      </c>
      <c r="E221" s="5" t="s">
        <v>218</v>
      </c>
    </row>
    <row r="222" spans="1:5" x14ac:dyDescent="0.25">
      <c r="A222" s="6" t="s">
        <v>219</v>
      </c>
      <c r="B222" s="5">
        <f t="shared" si="10"/>
        <v>14825.787430313074</v>
      </c>
      <c r="C222" s="5">
        <f t="shared" si="11"/>
        <v>296.51574860626147</v>
      </c>
      <c r="D222" s="5">
        <f t="shared" si="9"/>
        <v>88.954724581878438</v>
      </c>
      <c r="E222" s="5" t="s">
        <v>219</v>
      </c>
    </row>
    <row r="223" spans="1:5" x14ac:dyDescent="0.25">
      <c r="A223" s="6" t="s">
        <v>220</v>
      </c>
      <c r="B223" s="5">
        <f t="shared" si="10"/>
        <v>14914.742154894951</v>
      </c>
      <c r="C223" s="5">
        <f t="shared" si="11"/>
        <v>298.29484309789905</v>
      </c>
      <c r="D223" s="5">
        <f t="shared" si="9"/>
        <v>89.488452929369714</v>
      </c>
      <c r="E223" s="5" t="s">
        <v>220</v>
      </c>
    </row>
    <row r="224" spans="1:5" x14ac:dyDescent="0.25">
      <c r="A224" s="6" t="s">
        <v>221</v>
      </c>
      <c r="B224" s="5">
        <f t="shared" si="10"/>
        <v>15004.230607824322</v>
      </c>
      <c r="C224" s="5">
        <f t="shared" si="11"/>
        <v>300.08461215648646</v>
      </c>
      <c r="D224" s="5">
        <f t="shared" si="9"/>
        <v>90.02538364694594</v>
      </c>
      <c r="E224" s="5" t="s">
        <v>221</v>
      </c>
    </row>
    <row r="225" spans="1:5" x14ac:dyDescent="0.25">
      <c r="A225" s="6" t="s">
        <v>222</v>
      </c>
      <c r="B225" s="5">
        <f t="shared" si="10"/>
        <v>15094.255991471267</v>
      </c>
      <c r="C225" s="5">
        <f t="shared" si="11"/>
        <v>301.88511982942538</v>
      </c>
      <c r="D225" s="5">
        <f t="shared" si="9"/>
        <v>90.565535948827616</v>
      </c>
      <c r="E225" s="5" t="s">
        <v>222</v>
      </c>
    </row>
    <row r="226" spans="1:5" x14ac:dyDescent="0.25">
      <c r="A226" s="6" t="s">
        <v>223</v>
      </c>
      <c r="B226" s="5">
        <f t="shared" si="10"/>
        <v>15184.821527420096</v>
      </c>
      <c r="C226" s="5">
        <f t="shared" si="11"/>
        <v>303.69643054840191</v>
      </c>
      <c r="D226" s="5">
        <f t="shared" si="9"/>
        <v>91.108929164520575</v>
      </c>
      <c r="E226" s="5" t="s">
        <v>223</v>
      </c>
    </row>
    <row r="227" spans="1:5" x14ac:dyDescent="0.25">
      <c r="A227" s="6" t="s">
        <v>224</v>
      </c>
      <c r="B227" s="5">
        <f t="shared" si="10"/>
        <v>15275.930456584616</v>
      </c>
      <c r="C227" s="5">
        <f t="shared" si="11"/>
        <v>305.5186091316923</v>
      </c>
      <c r="D227" s="5">
        <f t="shared" si="9"/>
        <v>91.655582739507693</v>
      </c>
      <c r="E227" s="5" t="s">
        <v>224</v>
      </c>
    </row>
    <row r="228" spans="1:5" x14ac:dyDescent="0.25">
      <c r="A228" s="6" t="s">
        <v>225</v>
      </c>
      <c r="B228" s="5">
        <f t="shared" si="10"/>
        <v>15367.586039324124</v>
      </c>
      <c r="C228" s="5">
        <f t="shared" si="11"/>
        <v>307.35172078648247</v>
      </c>
      <c r="D228" s="5">
        <f t="shared" si="9"/>
        <v>92.205516235944742</v>
      </c>
      <c r="E228" s="5" t="s">
        <v>225</v>
      </c>
    </row>
    <row r="229" spans="1:5" x14ac:dyDescent="0.25">
      <c r="A229" s="6" t="s">
        <v>226</v>
      </c>
      <c r="B229" s="5">
        <f t="shared" si="10"/>
        <v>15459.791555560068</v>
      </c>
      <c r="C229" s="5">
        <f t="shared" si="11"/>
        <v>309.19583111120136</v>
      </c>
      <c r="D229" s="5">
        <f t="shared" si="9"/>
        <v>92.758749333360399</v>
      </c>
      <c r="E229" s="5" t="s">
        <v>226</v>
      </c>
    </row>
    <row r="230" spans="1:5" x14ac:dyDescent="0.25">
      <c r="A230" s="6" t="s">
        <v>227</v>
      </c>
      <c r="B230" s="5">
        <f t="shared" si="10"/>
        <v>15552.55030489343</v>
      </c>
      <c r="C230" s="5">
        <f t="shared" si="11"/>
        <v>311.05100609786859</v>
      </c>
      <c r="D230" s="5">
        <f t="shared" si="9"/>
        <v>93.315301829360578</v>
      </c>
      <c r="E230" s="5" t="s">
        <v>227</v>
      </c>
    </row>
    <row r="231" spans="1:5" x14ac:dyDescent="0.25">
      <c r="A231" s="6" t="s">
        <v>228</v>
      </c>
      <c r="B231" s="5">
        <f t="shared" si="10"/>
        <v>15645.865606722789</v>
      </c>
      <c r="C231" s="5">
        <f t="shared" si="11"/>
        <v>312.91731213445581</v>
      </c>
      <c r="D231" s="5">
        <f t="shared" si="9"/>
        <v>93.875193640336747</v>
      </c>
      <c r="E231" s="5" t="s">
        <v>228</v>
      </c>
    </row>
    <row r="232" spans="1:5" x14ac:dyDescent="0.25">
      <c r="A232" s="6" t="s">
        <v>229</v>
      </c>
      <c r="B232" s="5">
        <f t="shared" si="10"/>
        <v>15739.740800363126</v>
      </c>
      <c r="C232" s="5">
        <f t="shared" si="11"/>
        <v>314.79481600726251</v>
      </c>
      <c r="D232" s="5">
        <f t="shared" si="9"/>
        <v>94.438444802178751</v>
      </c>
      <c r="E232" s="5" t="s">
        <v>229</v>
      </c>
    </row>
    <row r="233" spans="1:5" x14ac:dyDescent="0.25">
      <c r="A233" s="6" t="s">
        <v>230</v>
      </c>
      <c r="B233" s="5">
        <f t="shared" si="10"/>
        <v>15834.179245165305</v>
      </c>
      <c r="C233" s="5">
        <f t="shared" si="11"/>
        <v>316.6835849033061</v>
      </c>
      <c r="D233" s="5">
        <f t="shared" si="9"/>
        <v>95.005075470991827</v>
      </c>
      <c r="E233" s="5" t="s">
        <v>230</v>
      </c>
    </row>
    <row r="234" spans="1:5" x14ac:dyDescent="0.25">
      <c r="A234" s="6" t="s">
        <v>231</v>
      </c>
      <c r="B234" s="5">
        <f t="shared" si="10"/>
        <v>15929.184320636297</v>
      </c>
      <c r="C234" s="5">
        <f t="shared" si="11"/>
        <v>318.58368641272597</v>
      </c>
      <c r="D234" s="5">
        <f t="shared" si="9"/>
        <v>95.575105923817787</v>
      </c>
      <c r="E234" s="5" t="s">
        <v>231</v>
      </c>
    </row>
    <row r="235" spans="1:5" x14ac:dyDescent="0.25">
      <c r="A235" s="6" t="s">
        <v>232</v>
      </c>
      <c r="B235" s="5">
        <f t="shared" si="10"/>
        <v>16024.759426560115</v>
      </c>
      <c r="C235" s="5">
        <f t="shared" si="11"/>
        <v>320.4951885312023</v>
      </c>
      <c r="D235" s="5">
        <f t="shared" si="9"/>
        <v>96.148556559360685</v>
      </c>
      <c r="E235" s="5" t="s">
        <v>232</v>
      </c>
    </row>
    <row r="236" spans="1:5" x14ac:dyDescent="0.25">
      <c r="A236" s="6" t="s">
        <v>233</v>
      </c>
      <c r="B236" s="5">
        <f t="shared" si="10"/>
        <v>16120.907983119476</v>
      </c>
      <c r="C236" s="5">
        <f t="shared" si="11"/>
        <v>322.41815966238954</v>
      </c>
      <c r="D236" s="5">
        <f t="shared" si="9"/>
        <v>96.725447898716865</v>
      </c>
      <c r="E236" s="5" t="s">
        <v>233</v>
      </c>
    </row>
    <row r="237" spans="1:5" x14ac:dyDescent="0.25">
      <c r="A237" s="6" t="s">
        <v>234</v>
      </c>
      <c r="B237" s="5">
        <f t="shared" si="10"/>
        <v>16217.633431018192</v>
      </c>
      <c r="C237" s="5">
        <f t="shared" si="11"/>
        <v>324.35266862036383</v>
      </c>
      <c r="D237" s="5">
        <f t="shared" si="9"/>
        <v>97.305800586109143</v>
      </c>
      <c r="E237" s="5" t="s">
        <v>234</v>
      </c>
    </row>
    <row r="238" spans="1:5" x14ac:dyDescent="0.25">
      <c r="A238" s="6" t="s">
        <v>235</v>
      </c>
      <c r="B238" s="5">
        <f t="shared" si="10"/>
        <v>16314.939231604301</v>
      </c>
      <c r="C238" s="5">
        <f t="shared" si="11"/>
        <v>326.29878463208604</v>
      </c>
      <c r="D238" s="5">
        <f t="shared" si="9"/>
        <v>97.889635389625809</v>
      </c>
      <c r="E238" s="5" t="s">
        <v>235</v>
      </c>
    </row>
    <row r="239" spans="1:5" x14ac:dyDescent="0.25">
      <c r="A239" s="6" t="s">
        <v>236</v>
      </c>
      <c r="B239" s="5">
        <f t="shared" si="10"/>
        <v>16412.828866993928</v>
      </c>
      <c r="C239" s="5">
        <f t="shared" si="11"/>
        <v>328.25657733987856</v>
      </c>
      <c r="D239" s="5">
        <f t="shared" si="9"/>
        <v>98.47697320196356</v>
      </c>
      <c r="E239" s="5" t="s">
        <v>236</v>
      </c>
    </row>
    <row r="240" spans="1:5" x14ac:dyDescent="0.25">
      <c r="A240" s="6" t="s">
        <v>237</v>
      </c>
      <c r="B240" s="5">
        <f t="shared" si="10"/>
        <v>16511.305840195892</v>
      </c>
      <c r="C240" s="5">
        <f t="shared" si="11"/>
        <v>330.22611680391782</v>
      </c>
      <c r="D240" s="5">
        <f t="shared" si="9"/>
        <v>99.067835041175343</v>
      </c>
      <c r="E240" s="5" t="s">
        <v>237</v>
      </c>
    </row>
    <row r="241" spans="1:5" x14ac:dyDescent="0.25">
      <c r="A241" s="6" t="s">
        <v>238</v>
      </c>
      <c r="B241" s="5">
        <f t="shared" si="10"/>
        <v>16610.373675237068</v>
      </c>
      <c r="C241" s="5">
        <f t="shared" si="11"/>
        <v>332.20747350474136</v>
      </c>
      <c r="D241" s="5">
        <f t="shared" si="9"/>
        <v>99.66224205142241</v>
      </c>
      <c r="E241" s="5" t="s">
        <v>238</v>
      </c>
    </row>
    <row r="242" spans="1:5" x14ac:dyDescent="0.25">
      <c r="A242" s="6" t="s">
        <v>239</v>
      </c>
      <c r="B242" s="5">
        <f t="shared" si="10"/>
        <v>16710.035917288489</v>
      </c>
      <c r="C242" s="5">
        <f t="shared" si="11"/>
        <v>334.20071834576981</v>
      </c>
      <c r="D242" s="5">
        <f t="shared" si="9"/>
        <v>100.26021550373095</v>
      </c>
      <c r="E242" s="5" t="s">
        <v>239</v>
      </c>
    </row>
    <row r="243" spans="1:5" x14ac:dyDescent="0.25">
      <c r="A243" s="6" t="s">
        <v>240</v>
      </c>
      <c r="B243" s="5">
        <f t="shared" si="10"/>
        <v>16810.29613279222</v>
      </c>
      <c r="C243" s="5">
        <f t="shared" si="11"/>
        <v>336.2059226558444</v>
      </c>
      <c r="D243" s="5">
        <f t="shared" si="9"/>
        <v>100.86177679675332</v>
      </c>
      <c r="E243" s="5" t="s">
        <v>240</v>
      </c>
    </row>
    <row r="244" spans="1:5" x14ac:dyDescent="0.25">
      <c r="A244" s="6" t="s">
        <v>241</v>
      </c>
      <c r="B244" s="5">
        <f t="shared" si="10"/>
        <v>16911.157909588972</v>
      </c>
      <c r="C244" s="5">
        <f t="shared" si="11"/>
        <v>338.22315819177942</v>
      </c>
      <c r="D244" s="5">
        <f t="shared" si="9"/>
        <v>101.46694745753382</v>
      </c>
      <c r="E244" s="5" t="s">
        <v>241</v>
      </c>
    </row>
    <row r="245" spans="1:5" x14ac:dyDescent="0.25">
      <c r="A245" s="6" t="s">
        <v>242</v>
      </c>
      <c r="B245" s="5">
        <f t="shared" si="10"/>
        <v>17012.624857046507</v>
      </c>
      <c r="C245" s="5">
        <f t="shared" si="11"/>
        <v>340.25249714093013</v>
      </c>
      <c r="D245" s="5">
        <f t="shared" si="9"/>
        <v>102.07574914227904</v>
      </c>
      <c r="E245" s="5" t="s">
        <v>242</v>
      </c>
    </row>
    <row r="246" spans="1:5" x14ac:dyDescent="0.25">
      <c r="A246" s="6" t="s">
        <v>243</v>
      </c>
      <c r="B246" s="5">
        <f t="shared" si="10"/>
        <v>17114.700606188784</v>
      </c>
      <c r="C246" s="5">
        <f t="shared" si="11"/>
        <v>342.2940121237757</v>
      </c>
      <c r="D246" s="5">
        <f t="shared" si="9"/>
        <v>102.6882036371327</v>
      </c>
      <c r="E246" s="5" t="s">
        <v>243</v>
      </c>
    </row>
    <row r="247" spans="1:5" x14ac:dyDescent="0.25">
      <c r="A247" s="6" t="s">
        <v>244</v>
      </c>
      <c r="B247" s="5">
        <f t="shared" si="10"/>
        <v>17217.388809825916</v>
      </c>
      <c r="C247" s="5">
        <f t="shared" si="11"/>
        <v>344.34777619651834</v>
      </c>
      <c r="D247" s="5">
        <f t="shared" si="9"/>
        <v>103.3043328589555</v>
      </c>
      <c r="E247" s="5" t="s">
        <v>244</v>
      </c>
    </row>
    <row r="248" spans="1:5" x14ac:dyDescent="0.25">
      <c r="A248" s="6" t="s">
        <v>245</v>
      </c>
      <c r="B248" s="5">
        <f t="shared" si="10"/>
        <v>17320.693142684871</v>
      </c>
      <c r="C248" s="5">
        <f t="shared" si="11"/>
        <v>346.41386285369742</v>
      </c>
      <c r="D248" s="5">
        <f t="shared" si="9"/>
        <v>103.92415885610923</v>
      </c>
      <c r="E248" s="5" t="s">
        <v>245</v>
      </c>
    </row>
    <row r="249" spans="1:5" x14ac:dyDescent="0.25">
      <c r="A249" s="6" t="s">
        <v>246</v>
      </c>
      <c r="B249" s="5">
        <f t="shared" si="10"/>
        <v>17424.61730154098</v>
      </c>
      <c r="C249" s="5">
        <f t="shared" si="11"/>
        <v>348.49234603081959</v>
      </c>
      <c r="D249" s="5">
        <f t="shared" si="9"/>
        <v>104.54770380924587</v>
      </c>
      <c r="E249" s="5" t="s">
        <v>246</v>
      </c>
    </row>
    <row r="250" spans="1:5" x14ac:dyDescent="0.25">
      <c r="A250" s="6" t="s">
        <v>247</v>
      </c>
      <c r="B250" s="5">
        <f t="shared" si="10"/>
        <v>17529.165005350227</v>
      </c>
      <c r="C250" s="5">
        <f t="shared" si="11"/>
        <v>350.58330010700456</v>
      </c>
      <c r="D250" s="5">
        <f t="shared" si="9"/>
        <v>105.17499003210136</v>
      </c>
      <c r="E250" s="5" t="s">
        <v>247</v>
      </c>
    </row>
    <row r="251" spans="1:5" x14ac:dyDescent="0.25">
      <c r="A251" s="6" t="s">
        <v>248</v>
      </c>
      <c r="B251" s="5">
        <f t="shared" si="10"/>
        <v>17634.339995382328</v>
      </c>
      <c r="C251" s="5">
        <f t="shared" si="11"/>
        <v>352.68679990764656</v>
      </c>
      <c r="D251" s="5">
        <f t="shared" si="9"/>
        <v>105.80603997229396</v>
      </c>
      <c r="E251" s="5" t="s">
        <v>248</v>
      </c>
    </row>
    <row r="252" spans="1:5" x14ac:dyDescent="0.25">
      <c r="A252" s="6" t="s">
        <v>249</v>
      </c>
      <c r="B252" s="5">
        <f t="shared" si="10"/>
        <v>17740.146035354621</v>
      </c>
      <c r="C252" s="5">
        <f t="shared" si="11"/>
        <v>354.80292070709243</v>
      </c>
      <c r="D252" s="5">
        <f t="shared" si="9"/>
        <v>106.44087621212772</v>
      </c>
      <c r="E252" s="5" t="s">
        <v>249</v>
      </c>
    </row>
    <row r="253" spans="1:5" x14ac:dyDescent="0.25">
      <c r="A253" s="6" t="s">
        <v>250</v>
      </c>
      <c r="B253" s="5">
        <f t="shared" si="10"/>
        <v>17846.586911566748</v>
      </c>
      <c r="C253" s="5">
        <f t="shared" si="11"/>
        <v>356.93173823133498</v>
      </c>
      <c r="D253" s="5">
        <f t="shared" si="9"/>
        <v>107.07952146940049</v>
      </c>
      <c r="E253" s="5" t="s">
        <v>250</v>
      </c>
    </row>
    <row r="254" spans="1:5" x14ac:dyDescent="0.25">
      <c r="A254" s="6" t="s">
        <v>251</v>
      </c>
      <c r="B254" s="5">
        <f t="shared" si="10"/>
        <v>17953.666433036149</v>
      </c>
      <c r="C254" s="5">
        <f t="shared" si="11"/>
        <v>359.07332866072301</v>
      </c>
      <c r="D254" s="5">
        <f t="shared" si="9"/>
        <v>107.7219985982169</v>
      </c>
      <c r="E254" s="5" t="s">
        <v>251</v>
      </c>
    </row>
    <row r="255" spans="1:5" x14ac:dyDescent="0.25">
      <c r="A255" s="6" t="s">
        <v>252</v>
      </c>
      <c r="B255" s="5">
        <f t="shared" si="10"/>
        <v>18061.388431634365</v>
      </c>
      <c r="C255" s="5">
        <f t="shared" si="11"/>
        <v>361.22776863268729</v>
      </c>
      <c r="D255" s="5">
        <f t="shared" si="9"/>
        <v>108.36833058980618</v>
      </c>
      <c r="E255" s="5" t="s">
        <v>252</v>
      </c>
    </row>
    <row r="256" spans="1:5" x14ac:dyDescent="0.25">
      <c r="A256" s="6" t="s">
        <v>253</v>
      </c>
      <c r="B256" s="5">
        <f t="shared" si="10"/>
        <v>18169.75676222417</v>
      </c>
      <c r="C256" s="5">
        <f t="shared" si="11"/>
        <v>363.39513524448341</v>
      </c>
      <c r="D256" s="5">
        <f t="shared" si="9"/>
        <v>109.01854057334502</v>
      </c>
      <c r="E256" s="5" t="s">
        <v>253</v>
      </c>
    </row>
    <row r="257" spans="1:5" x14ac:dyDescent="0.25">
      <c r="A257" s="6" t="s">
        <v>254</v>
      </c>
      <c r="B257" s="5">
        <f t="shared" si="10"/>
        <v>18278.775302797516</v>
      </c>
      <c r="C257" s="5">
        <f t="shared" si="11"/>
        <v>365.57550605595031</v>
      </c>
      <c r="D257" s="5">
        <f t="shared" si="9"/>
        <v>109.67265181678509</v>
      </c>
      <c r="E257" s="5" t="s">
        <v>254</v>
      </c>
    </row>
    <row r="258" spans="1:5" x14ac:dyDescent="0.25">
      <c r="A258" s="6" t="s">
        <v>255</v>
      </c>
      <c r="B258" s="5">
        <f t="shared" si="10"/>
        <v>18388.447954614301</v>
      </c>
      <c r="C258" s="5">
        <f t="shared" si="11"/>
        <v>367.76895909228602</v>
      </c>
      <c r="D258" s="5">
        <f t="shared" si="9"/>
        <v>110.3306877276858</v>
      </c>
      <c r="E258" s="5" t="s">
        <v>255</v>
      </c>
    </row>
    <row r="259" spans="1:5" x14ac:dyDescent="0.25">
      <c r="A259" s="6" t="s">
        <v>256</v>
      </c>
      <c r="B259" s="5">
        <f t="shared" si="10"/>
        <v>18498.778642341986</v>
      </c>
      <c r="C259" s="5">
        <f t="shared" si="11"/>
        <v>369.97557284683973</v>
      </c>
      <c r="D259" s="5">
        <f t="shared" si="9"/>
        <v>110.99267185405192</v>
      </c>
      <c r="E259" s="5" t="s">
        <v>256</v>
      </c>
    </row>
    <row r="260" spans="1:5" x14ac:dyDescent="0.25">
      <c r="A260" s="6" t="s">
        <v>257</v>
      </c>
      <c r="B260" s="5">
        <f t="shared" si="10"/>
        <v>18609.771314196038</v>
      </c>
      <c r="C260" s="5">
        <f t="shared" si="11"/>
        <v>372.19542628392077</v>
      </c>
      <c r="D260" s="5">
        <f t="shared" si="9"/>
        <v>111.65862788517623</v>
      </c>
      <c r="E260" s="5" t="s">
        <v>257</v>
      </c>
    </row>
    <row r="261" spans="1:5" x14ac:dyDescent="0.25">
      <c r="A261" s="6" t="s">
        <v>258</v>
      </c>
      <c r="B261" s="5">
        <f t="shared" si="10"/>
        <v>18721.429942081213</v>
      </c>
      <c r="C261" s="5">
        <f t="shared" si="11"/>
        <v>374.42859884162425</v>
      </c>
      <c r="D261" s="5">
        <f t="shared" si="9"/>
        <v>112.32857965248728</v>
      </c>
      <c r="E261" s="5" t="s">
        <v>258</v>
      </c>
    </row>
    <row r="262" spans="1:5" x14ac:dyDescent="0.25">
      <c r="A262" s="6" t="s">
        <v>259</v>
      </c>
      <c r="B262" s="5">
        <f t="shared" si="10"/>
        <v>18833.7585217337</v>
      </c>
      <c r="C262" s="5">
        <f t="shared" si="11"/>
        <v>376.67517043467399</v>
      </c>
      <c r="D262" s="5">
        <f t="shared" ref="D262:D325" si="12">C262*$B$2*$E$2</f>
        <v>113.0025511304022</v>
      </c>
      <c r="E262" s="5" t="s">
        <v>259</v>
      </c>
    </row>
    <row r="263" spans="1:5" x14ac:dyDescent="0.25">
      <c r="A263" s="6" t="s">
        <v>260</v>
      </c>
      <c r="B263" s="5">
        <f t="shared" si="10"/>
        <v>18946.761072864101</v>
      </c>
      <c r="C263" s="5">
        <f t="shared" si="11"/>
        <v>378.93522145728201</v>
      </c>
      <c r="D263" s="5">
        <f t="shared" si="12"/>
        <v>113.68056643718459</v>
      </c>
      <c r="E263" s="5" t="s">
        <v>260</v>
      </c>
    </row>
    <row r="264" spans="1:5" x14ac:dyDescent="0.25">
      <c r="A264" s="6" t="s">
        <v>261</v>
      </c>
      <c r="B264" s="5">
        <f t="shared" si="10"/>
        <v>19060.441639301287</v>
      </c>
      <c r="C264" s="5">
        <f t="shared" si="11"/>
        <v>381.20883278602577</v>
      </c>
      <c r="D264" s="5">
        <f t="shared" si="12"/>
        <v>114.36264983580773</v>
      </c>
      <c r="E264" s="5" t="s">
        <v>261</v>
      </c>
    </row>
    <row r="265" spans="1:5" x14ac:dyDescent="0.25">
      <c r="A265" s="6" t="s">
        <v>262</v>
      </c>
      <c r="B265" s="5">
        <f t="shared" ref="B265:B328" si="13">B264+D264</f>
        <v>19174.804289137093</v>
      </c>
      <c r="C265" s="5">
        <f t="shared" ref="C265:C328" si="14">B265*$C$2</f>
        <v>383.49608578274189</v>
      </c>
      <c r="D265" s="5">
        <f t="shared" si="12"/>
        <v>115.04882573482256</v>
      </c>
      <c r="E265" s="5" t="s">
        <v>262</v>
      </c>
    </row>
    <row r="266" spans="1:5" x14ac:dyDescent="0.25">
      <c r="A266" s="6" t="s">
        <v>263</v>
      </c>
      <c r="B266" s="5">
        <f t="shared" si="13"/>
        <v>19289.853114871916</v>
      </c>
      <c r="C266" s="5">
        <f t="shared" si="14"/>
        <v>385.79706229743834</v>
      </c>
      <c r="D266" s="5">
        <f t="shared" si="12"/>
        <v>115.7391186892315</v>
      </c>
      <c r="E266" s="5" t="s">
        <v>263</v>
      </c>
    </row>
    <row r="267" spans="1:5" x14ac:dyDescent="0.25">
      <c r="A267" s="6" t="s">
        <v>264</v>
      </c>
      <c r="B267" s="5">
        <f t="shared" si="13"/>
        <v>19405.592233561147</v>
      </c>
      <c r="C267" s="5">
        <f t="shared" si="14"/>
        <v>388.11184467122297</v>
      </c>
      <c r="D267" s="5">
        <f t="shared" si="12"/>
        <v>116.43355340136688</v>
      </c>
      <c r="E267" s="5" t="s">
        <v>264</v>
      </c>
    </row>
    <row r="268" spans="1:5" x14ac:dyDescent="0.25">
      <c r="A268" s="6" t="s">
        <v>265</v>
      </c>
      <c r="B268" s="5">
        <f t="shared" si="13"/>
        <v>19522.025786962513</v>
      </c>
      <c r="C268" s="5">
        <f t="shared" si="14"/>
        <v>390.44051573925026</v>
      </c>
      <c r="D268" s="5">
        <f t="shared" si="12"/>
        <v>117.13215472177507</v>
      </c>
      <c r="E268" s="5" t="s">
        <v>265</v>
      </c>
    </row>
    <row r="269" spans="1:5" x14ac:dyDescent="0.25">
      <c r="A269" s="6" t="s">
        <v>266</v>
      </c>
      <c r="B269" s="5">
        <f t="shared" si="13"/>
        <v>19639.157941684287</v>
      </c>
      <c r="C269" s="5">
        <f t="shared" si="14"/>
        <v>392.78315883368577</v>
      </c>
      <c r="D269" s="5">
        <f t="shared" si="12"/>
        <v>117.83494765010573</v>
      </c>
      <c r="E269" s="5" t="s">
        <v>266</v>
      </c>
    </row>
    <row r="270" spans="1:5" x14ac:dyDescent="0.25">
      <c r="A270" s="6" t="s">
        <v>267</v>
      </c>
      <c r="B270" s="5">
        <f t="shared" si="13"/>
        <v>19756.992889334393</v>
      </c>
      <c r="C270" s="5">
        <f t="shared" si="14"/>
        <v>395.13985778668786</v>
      </c>
      <c r="D270" s="5">
        <f t="shared" si="12"/>
        <v>118.54195733600635</v>
      </c>
      <c r="E270" s="5" t="s">
        <v>267</v>
      </c>
    </row>
    <row r="271" spans="1:5" x14ac:dyDescent="0.25">
      <c r="A271" s="6" t="s">
        <v>268</v>
      </c>
      <c r="B271" s="5">
        <f t="shared" si="13"/>
        <v>19875.534846670398</v>
      </c>
      <c r="C271" s="5">
        <f t="shared" si="14"/>
        <v>397.51069693340798</v>
      </c>
      <c r="D271" s="5">
        <f t="shared" si="12"/>
        <v>119.25320908002239</v>
      </c>
      <c r="E271" s="5" t="s">
        <v>268</v>
      </c>
    </row>
    <row r="272" spans="1:5" x14ac:dyDescent="0.25">
      <c r="A272" s="6" t="s">
        <v>269</v>
      </c>
      <c r="B272" s="5">
        <f t="shared" si="13"/>
        <v>19994.788055750421</v>
      </c>
      <c r="C272" s="5">
        <f t="shared" si="14"/>
        <v>399.89576111500844</v>
      </c>
      <c r="D272" s="5">
        <f t="shared" si="12"/>
        <v>119.96872833450253</v>
      </c>
      <c r="E272" s="5" t="s">
        <v>269</v>
      </c>
    </row>
    <row r="273" spans="1:5" x14ac:dyDescent="0.25">
      <c r="A273" s="6" t="s">
        <v>270</v>
      </c>
      <c r="B273" s="5">
        <f t="shared" si="13"/>
        <v>20114.756784084922</v>
      </c>
      <c r="C273" s="5">
        <f t="shared" si="14"/>
        <v>402.29513568169847</v>
      </c>
      <c r="D273" s="5">
        <f t="shared" si="12"/>
        <v>120.68854070450953</v>
      </c>
      <c r="E273" s="5" t="s">
        <v>270</v>
      </c>
    </row>
    <row r="274" spans="1:5" x14ac:dyDescent="0.25">
      <c r="A274" s="6" t="s">
        <v>271</v>
      </c>
      <c r="B274" s="5">
        <f t="shared" si="13"/>
        <v>20235.445324789431</v>
      </c>
      <c r="C274" s="5">
        <f t="shared" si="14"/>
        <v>404.7089064957886</v>
      </c>
      <c r="D274" s="5">
        <f t="shared" si="12"/>
        <v>121.41267194873657</v>
      </c>
      <c r="E274" s="5" t="s">
        <v>271</v>
      </c>
    </row>
    <row r="275" spans="1:5" x14ac:dyDescent="0.25">
      <c r="A275" s="6" t="s">
        <v>272</v>
      </c>
      <c r="B275" s="5">
        <f t="shared" si="13"/>
        <v>20356.857996738167</v>
      </c>
      <c r="C275" s="5">
        <f t="shared" si="14"/>
        <v>407.13715993476336</v>
      </c>
      <c r="D275" s="5">
        <f t="shared" si="12"/>
        <v>122.141147980429</v>
      </c>
      <c r="E275" s="5" t="s">
        <v>272</v>
      </c>
    </row>
    <row r="276" spans="1:5" x14ac:dyDescent="0.25">
      <c r="A276" s="6" t="s">
        <v>273</v>
      </c>
      <c r="B276" s="5">
        <f t="shared" si="13"/>
        <v>20478.999144718597</v>
      </c>
      <c r="C276" s="5">
        <f t="shared" si="14"/>
        <v>409.57998289437194</v>
      </c>
      <c r="D276" s="5">
        <f t="shared" si="12"/>
        <v>122.87399486831157</v>
      </c>
      <c r="E276" s="5" t="s">
        <v>273</v>
      </c>
    </row>
    <row r="277" spans="1:5" x14ac:dyDescent="0.25">
      <c r="A277" s="6" t="s">
        <v>274</v>
      </c>
      <c r="B277" s="5">
        <f t="shared" si="13"/>
        <v>20601.873139586907</v>
      </c>
      <c r="C277" s="5">
        <f t="shared" si="14"/>
        <v>412.03746279173816</v>
      </c>
      <c r="D277" s="5">
        <f t="shared" si="12"/>
        <v>123.61123883752144</v>
      </c>
      <c r="E277" s="5" t="s">
        <v>274</v>
      </c>
    </row>
    <row r="278" spans="1:5" x14ac:dyDescent="0.25">
      <c r="A278" s="6" t="s">
        <v>275</v>
      </c>
      <c r="B278" s="5">
        <f t="shared" si="13"/>
        <v>20725.484378424429</v>
      </c>
      <c r="C278" s="5">
        <f t="shared" si="14"/>
        <v>414.50968756848857</v>
      </c>
      <c r="D278" s="5">
        <f t="shared" si="12"/>
        <v>124.35290627054657</v>
      </c>
      <c r="E278" s="5" t="s">
        <v>275</v>
      </c>
    </row>
    <row r="279" spans="1:5" x14ac:dyDescent="0.25">
      <c r="A279" s="6" t="s">
        <v>276</v>
      </c>
      <c r="B279" s="5">
        <f t="shared" si="13"/>
        <v>20849.837284694975</v>
      </c>
      <c r="C279" s="5">
        <f t="shared" si="14"/>
        <v>416.99674569389953</v>
      </c>
      <c r="D279" s="5">
        <f t="shared" si="12"/>
        <v>125.09902370816985</v>
      </c>
      <c r="E279" s="5" t="s">
        <v>276</v>
      </c>
    </row>
    <row r="280" spans="1:5" x14ac:dyDescent="0.25">
      <c r="A280" s="6" t="s">
        <v>277</v>
      </c>
      <c r="B280" s="5">
        <f t="shared" si="13"/>
        <v>20974.936308403147</v>
      </c>
      <c r="C280" s="5">
        <f t="shared" si="14"/>
        <v>419.49872616806294</v>
      </c>
      <c r="D280" s="5">
        <f t="shared" si="12"/>
        <v>125.84961785041888</v>
      </c>
      <c r="E280" s="5" t="s">
        <v>277</v>
      </c>
    </row>
    <row r="281" spans="1:5" x14ac:dyDescent="0.25">
      <c r="A281" s="6" t="s">
        <v>278</v>
      </c>
      <c r="B281" s="5">
        <f t="shared" si="13"/>
        <v>21100.785926253564</v>
      </c>
      <c r="C281" s="5">
        <f t="shared" si="14"/>
        <v>422.01571852507129</v>
      </c>
      <c r="D281" s="5">
        <f t="shared" si="12"/>
        <v>126.60471555752139</v>
      </c>
      <c r="E281" s="5" t="s">
        <v>278</v>
      </c>
    </row>
    <row r="282" spans="1:5" x14ac:dyDescent="0.25">
      <c r="A282" s="6" t="s">
        <v>279</v>
      </c>
      <c r="B282" s="5">
        <f t="shared" si="13"/>
        <v>21227.390641811086</v>
      </c>
      <c r="C282" s="5">
        <f t="shared" si="14"/>
        <v>424.54781283622174</v>
      </c>
      <c r="D282" s="5">
        <f t="shared" si="12"/>
        <v>127.36434385086652</v>
      </c>
      <c r="E282" s="5" t="s">
        <v>279</v>
      </c>
    </row>
    <row r="283" spans="1:5" x14ac:dyDescent="0.25">
      <c r="A283" s="6" t="s">
        <v>280</v>
      </c>
      <c r="B283" s="5">
        <f t="shared" si="13"/>
        <v>21354.754985661952</v>
      </c>
      <c r="C283" s="5">
        <f t="shared" si="14"/>
        <v>427.09509971323905</v>
      </c>
      <c r="D283" s="5">
        <f t="shared" si="12"/>
        <v>128.1285299139717</v>
      </c>
      <c r="E283" s="5" t="s">
        <v>280</v>
      </c>
    </row>
    <row r="284" spans="1:5" x14ac:dyDescent="0.25">
      <c r="A284" s="6" t="s">
        <v>281</v>
      </c>
      <c r="B284" s="5">
        <f t="shared" si="13"/>
        <v>21482.883515575923</v>
      </c>
      <c r="C284" s="5">
        <f t="shared" si="14"/>
        <v>429.65767031151847</v>
      </c>
      <c r="D284" s="5">
        <f t="shared" si="12"/>
        <v>128.89730109345552</v>
      </c>
      <c r="E284" s="5" t="s">
        <v>281</v>
      </c>
    </row>
    <row r="285" spans="1:5" x14ac:dyDescent="0.25">
      <c r="A285" s="6" t="s">
        <v>282</v>
      </c>
      <c r="B285" s="5">
        <f t="shared" si="13"/>
        <v>21611.780816669379</v>
      </c>
      <c r="C285" s="5">
        <f t="shared" si="14"/>
        <v>432.23561633338761</v>
      </c>
      <c r="D285" s="5">
        <f t="shared" si="12"/>
        <v>129.67068490001628</v>
      </c>
      <c r="E285" s="5" t="s">
        <v>282</v>
      </c>
    </row>
    <row r="286" spans="1:5" x14ac:dyDescent="0.25">
      <c r="A286" s="6" t="s">
        <v>283</v>
      </c>
      <c r="B286" s="5">
        <f t="shared" si="13"/>
        <v>21741.451501569394</v>
      </c>
      <c r="C286" s="5">
        <f t="shared" si="14"/>
        <v>434.8290300313879</v>
      </c>
      <c r="D286" s="5">
        <f t="shared" si="12"/>
        <v>130.44870900941638</v>
      </c>
      <c r="E286" s="5" t="s">
        <v>283</v>
      </c>
    </row>
    <row r="287" spans="1:5" x14ac:dyDescent="0.25">
      <c r="A287" s="6" t="s">
        <v>284</v>
      </c>
      <c r="B287" s="5">
        <f t="shared" si="13"/>
        <v>21871.900210578809</v>
      </c>
      <c r="C287" s="5">
        <f t="shared" si="14"/>
        <v>437.43800421157619</v>
      </c>
      <c r="D287" s="5">
        <f t="shared" si="12"/>
        <v>131.23140126347286</v>
      </c>
      <c r="E287" s="5" t="s">
        <v>284</v>
      </c>
    </row>
    <row r="288" spans="1:5" x14ac:dyDescent="0.25">
      <c r="A288" s="6" t="s">
        <v>285</v>
      </c>
      <c r="B288" s="5">
        <f t="shared" si="13"/>
        <v>22003.131611842284</v>
      </c>
      <c r="C288" s="5">
        <f t="shared" si="14"/>
        <v>440.06263223684567</v>
      </c>
      <c r="D288" s="5">
        <f t="shared" si="12"/>
        <v>132.0187896710537</v>
      </c>
      <c r="E288" s="5" t="s">
        <v>285</v>
      </c>
    </row>
    <row r="289" spans="1:5" x14ac:dyDescent="0.25">
      <c r="A289" s="6" t="s">
        <v>286</v>
      </c>
      <c r="B289" s="5">
        <f t="shared" si="13"/>
        <v>22135.150401513336</v>
      </c>
      <c r="C289" s="5">
        <f t="shared" si="14"/>
        <v>442.70300803026674</v>
      </c>
      <c r="D289" s="5">
        <f t="shared" si="12"/>
        <v>132.81090240908003</v>
      </c>
      <c r="E289" s="5" t="s">
        <v>286</v>
      </c>
    </row>
    <row r="290" spans="1:5" x14ac:dyDescent="0.25">
      <c r="A290" s="6" t="s">
        <v>287</v>
      </c>
      <c r="B290" s="5">
        <f t="shared" si="13"/>
        <v>22267.961303922417</v>
      </c>
      <c r="C290" s="5">
        <f t="shared" si="14"/>
        <v>445.35922607844833</v>
      </c>
      <c r="D290" s="5">
        <f t="shared" si="12"/>
        <v>133.60776782353449</v>
      </c>
      <c r="E290" s="5" t="s">
        <v>287</v>
      </c>
    </row>
    <row r="291" spans="1:5" x14ac:dyDescent="0.25">
      <c r="A291" s="6" t="s">
        <v>288</v>
      </c>
      <c r="B291" s="5">
        <f t="shared" si="13"/>
        <v>22401.569071745951</v>
      </c>
      <c r="C291" s="5">
        <f t="shared" si="14"/>
        <v>448.03138143491901</v>
      </c>
      <c r="D291" s="5">
        <f t="shared" si="12"/>
        <v>134.40941443047569</v>
      </c>
      <c r="E291" s="5" t="s">
        <v>288</v>
      </c>
    </row>
    <row r="292" spans="1:5" x14ac:dyDescent="0.25">
      <c r="A292" s="6" t="s">
        <v>289</v>
      </c>
      <c r="B292" s="5">
        <f t="shared" si="13"/>
        <v>22535.978486176427</v>
      </c>
      <c r="C292" s="5">
        <f t="shared" si="14"/>
        <v>450.71956972352854</v>
      </c>
      <c r="D292" s="5">
        <f t="shared" si="12"/>
        <v>135.21587091705857</v>
      </c>
      <c r="E292" s="5" t="s">
        <v>289</v>
      </c>
    </row>
    <row r="293" spans="1:5" x14ac:dyDescent="0.25">
      <c r="A293" s="6" t="s">
        <v>290</v>
      </c>
      <c r="B293" s="5">
        <f t="shared" si="13"/>
        <v>22671.194357093485</v>
      </c>
      <c r="C293" s="5">
        <f t="shared" si="14"/>
        <v>453.42388714186973</v>
      </c>
      <c r="D293" s="5">
        <f t="shared" si="12"/>
        <v>136.0271661425609</v>
      </c>
      <c r="E293" s="5" t="s">
        <v>290</v>
      </c>
    </row>
    <row r="294" spans="1:5" x14ac:dyDescent="0.25">
      <c r="A294" s="6" t="s">
        <v>291</v>
      </c>
      <c r="B294" s="5">
        <f t="shared" si="13"/>
        <v>22807.221523236047</v>
      </c>
      <c r="C294" s="5">
        <f t="shared" si="14"/>
        <v>456.14443046472093</v>
      </c>
      <c r="D294" s="5">
        <f t="shared" si="12"/>
        <v>136.84332913941628</v>
      </c>
      <c r="E294" s="5" t="s">
        <v>291</v>
      </c>
    </row>
    <row r="295" spans="1:5" x14ac:dyDescent="0.25">
      <c r="A295" s="6" t="s">
        <v>292</v>
      </c>
      <c r="B295" s="5">
        <f t="shared" si="13"/>
        <v>22944.064852375464</v>
      </c>
      <c r="C295" s="5">
        <f t="shared" si="14"/>
        <v>458.88129704750929</v>
      </c>
      <c r="D295" s="5">
        <f t="shared" si="12"/>
        <v>137.66438911425277</v>
      </c>
      <c r="E295" s="5" t="s">
        <v>292</v>
      </c>
    </row>
    <row r="296" spans="1:5" x14ac:dyDescent="0.25">
      <c r="A296" s="6" t="s">
        <v>293</v>
      </c>
      <c r="B296" s="5">
        <f t="shared" si="13"/>
        <v>23081.729241489717</v>
      </c>
      <c r="C296" s="5">
        <f t="shared" si="14"/>
        <v>461.63458482979433</v>
      </c>
      <c r="D296" s="5">
        <f t="shared" si="12"/>
        <v>138.49037544893829</v>
      </c>
      <c r="E296" s="5" t="s">
        <v>293</v>
      </c>
    </row>
    <row r="297" spans="1:5" x14ac:dyDescent="0.25">
      <c r="A297" s="6" t="s">
        <v>294</v>
      </c>
      <c r="B297" s="5">
        <f t="shared" si="13"/>
        <v>23220.219616938655</v>
      </c>
      <c r="C297" s="5">
        <f t="shared" si="14"/>
        <v>464.40439233877311</v>
      </c>
      <c r="D297" s="5">
        <f t="shared" si="12"/>
        <v>139.32131770163193</v>
      </c>
      <c r="E297" s="5" t="s">
        <v>294</v>
      </c>
    </row>
    <row r="298" spans="1:5" x14ac:dyDescent="0.25">
      <c r="A298" s="6" t="s">
        <v>295</v>
      </c>
      <c r="B298" s="5">
        <f t="shared" si="13"/>
        <v>23359.540934640288</v>
      </c>
      <c r="C298" s="5">
        <f t="shared" si="14"/>
        <v>467.19081869280581</v>
      </c>
      <c r="D298" s="5">
        <f t="shared" si="12"/>
        <v>140.15724560784173</v>
      </c>
      <c r="E298" s="5" t="s">
        <v>295</v>
      </c>
    </row>
    <row r="299" spans="1:5" x14ac:dyDescent="0.25">
      <c r="A299" s="6" t="s">
        <v>296</v>
      </c>
      <c r="B299" s="5">
        <f t="shared" si="13"/>
        <v>23499.698180248131</v>
      </c>
      <c r="C299" s="5">
        <f t="shared" si="14"/>
        <v>469.99396360496263</v>
      </c>
      <c r="D299" s="5">
        <f t="shared" si="12"/>
        <v>140.99818908148879</v>
      </c>
      <c r="E299" s="5" t="s">
        <v>296</v>
      </c>
    </row>
    <row r="300" spans="1:5" x14ac:dyDescent="0.25">
      <c r="A300" s="6" t="s">
        <v>297</v>
      </c>
      <c r="B300" s="5">
        <f t="shared" si="13"/>
        <v>23640.69636932962</v>
      </c>
      <c r="C300" s="5">
        <f t="shared" si="14"/>
        <v>472.81392738659241</v>
      </c>
      <c r="D300" s="5">
        <f t="shared" si="12"/>
        <v>141.84417821597771</v>
      </c>
      <c r="E300" s="5" t="s">
        <v>297</v>
      </c>
    </row>
    <row r="301" spans="1:5" x14ac:dyDescent="0.25">
      <c r="A301" s="6" t="s">
        <v>298</v>
      </c>
      <c r="B301" s="5">
        <f t="shared" si="13"/>
        <v>23782.540547545599</v>
      </c>
      <c r="C301" s="5">
        <f t="shared" si="14"/>
        <v>475.65081095091199</v>
      </c>
      <c r="D301" s="5">
        <f t="shared" si="12"/>
        <v>142.69524328527359</v>
      </c>
      <c r="E301" s="5" t="s">
        <v>298</v>
      </c>
    </row>
    <row r="302" spans="1:5" x14ac:dyDescent="0.25">
      <c r="A302" s="6" t="s">
        <v>299</v>
      </c>
      <c r="B302" s="5">
        <f t="shared" si="13"/>
        <v>23925.235790830873</v>
      </c>
      <c r="C302" s="5">
        <f t="shared" si="14"/>
        <v>478.50471581661748</v>
      </c>
      <c r="D302" s="5">
        <f t="shared" si="12"/>
        <v>143.55141474498524</v>
      </c>
      <c r="E302" s="5" t="s">
        <v>299</v>
      </c>
    </row>
    <row r="303" spans="1:5" x14ac:dyDescent="0.25">
      <c r="A303" s="6" t="s">
        <v>300</v>
      </c>
      <c r="B303" s="5">
        <f t="shared" si="13"/>
        <v>24068.78720557586</v>
      </c>
      <c r="C303" s="5">
        <f t="shared" si="14"/>
        <v>481.37574411151718</v>
      </c>
      <c r="D303" s="5">
        <f t="shared" si="12"/>
        <v>144.41272323345515</v>
      </c>
      <c r="E303" s="5" t="s">
        <v>300</v>
      </c>
    </row>
    <row r="304" spans="1:5" x14ac:dyDescent="0.25">
      <c r="A304" s="6" t="s">
        <v>301</v>
      </c>
      <c r="B304" s="5">
        <f t="shared" si="13"/>
        <v>24213.199928809314</v>
      </c>
      <c r="C304" s="5">
        <f t="shared" si="14"/>
        <v>484.26399857618628</v>
      </c>
      <c r="D304" s="5">
        <f t="shared" si="12"/>
        <v>145.27919957285587</v>
      </c>
      <c r="E304" s="5" t="s">
        <v>301</v>
      </c>
    </row>
    <row r="305" spans="1:5" x14ac:dyDescent="0.25">
      <c r="A305" s="6" t="s">
        <v>302</v>
      </c>
      <c r="B305" s="5">
        <f t="shared" si="13"/>
        <v>24358.479128382169</v>
      </c>
      <c r="C305" s="5">
        <f t="shared" si="14"/>
        <v>487.16958256764337</v>
      </c>
      <c r="D305" s="5">
        <f t="shared" si="12"/>
        <v>146.150874770293</v>
      </c>
      <c r="E305" s="5" t="s">
        <v>302</v>
      </c>
    </row>
    <row r="306" spans="1:5" x14ac:dyDescent="0.25">
      <c r="A306" s="6" t="s">
        <v>303</v>
      </c>
      <c r="B306" s="5">
        <f t="shared" si="13"/>
        <v>24504.630003152462</v>
      </c>
      <c r="C306" s="5">
        <f t="shared" si="14"/>
        <v>490.09260006304925</v>
      </c>
      <c r="D306" s="5">
        <f t="shared" si="12"/>
        <v>147.02778001891477</v>
      </c>
      <c r="E306" s="5" t="s">
        <v>303</v>
      </c>
    </row>
    <row r="307" spans="1:5" x14ac:dyDescent="0.25">
      <c r="A307" s="6" t="s">
        <v>304</v>
      </c>
      <c r="B307" s="5">
        <f t="shared" si="13"/>
        <v>24651.657783171377</v>
      </c>
      <c r="C307" s="5">
        <f t="shared" si="14"/>
        <v>493.03315566342752</v>
      </c>
      <c r="D307" s="5">
        <f t="shared" si="12"/>
        <v>147.90994669902824</v>
      </c>
      <c r="E307" s="5" t="s">
        <v>304</v>
      </c>
    </row>
    <row r="308" spans="1:5" x14ac:dyDescent="0.25">
      <c r="A308" s="6" t="s">
        <v>305</v>
      </c>
      <c r="B308" s="5">
        <f t="shared" si="13"/>
        <v>24799.567729870403</v>
      </c>
      <c r="C308" s="5">
        <f t="shared" si="14"/>
        <v>495.99135459740808</v>
      </c>
      <c r="D308" s="5">
        <f t="shared" si="12"/>
        <v>148.79740637922242</v>
      </c>
      <c r="E308" s="5" t="s">
        <v>305</v>
      </c>
    </row>
    <row r="309" spans="1:5" x14ac:dyDescent="0.25">
      <c r="A309" s="6" t="s">
        <v>306</v>
      </c>
      <c r="B309" s="5">
        <f t="shared" si="13"/>
        <v>24948.365136249624</v>
      </c>
      <c r="C309" s="5">
        <f t="shared" si="14"/>
        <v>498.96730272499246</v>
      </c>
      <c r="D309" s="5">
        <f t="shared" si="12"/>
        <v>149.69019081749772</v>
      </c>
      <c r="E309" s="5" t="s">
        <v>306</v>
      </c>
    </row>
    <row r="310" spans="1:5" x14ac:dyDescent="0.25">
      <c r="A310" s="6" t="s">
        <v>307</v>
      </c>
      <c r="B310" s="5">
        <f t="shared" si="13"/>
        <v>25098.055327067123</v>
      </c>
      <c r="C310" s="5">
        <f t="shared" si="14"/>
        <v>501.96110654134247</v>
      </c>
      <c r="D310" s="5">
        <f t="shared" si="12"/>
        <v>150.58833196240275</v>
      </c>
      <c r="E310" s="5" t="s">
        <v>307</v>
      </c>
    </row>
    <row r="311" spans="1:5" x14ac:dyDescent="0.25">
      <c r="A311" s="6" t="s">
        <v>308</v>
      </c>
      <c r="B311" s="5">
        <f t="shared" si="13"/>
        <v>25248.643659029527</v>
      </c>
      <c r="C311" s="5">
        <f t="shared" si="14"/>
        <v>504.97287318059057</v>
      </c>
      <c r="D311" s="5">
        <f t="shared" si="12"/>
        <v>151.49186195417715</v>
      </c>
      <c r="E311" s="5" t="s">
        <v>308</v>
      </c>
    </row>
    <row r="312" spans="1:5" x14ac:dyDescent="0.25">
      <c r="A312" s="6" t="s">
        <v>309</v>
      </c>
      <c r="B312" s="5">
        <f t="shared" si="13"/>
        <v>25400.135520983706</v>
      </c>
      <c r="C312" s="5">
        <f t="shared" si="14"/>
        <v>508.00271041967414</v>
      </c>
      <c r="D312" s="5">
        <f t="shared" si="12"/>
        <v>152.40081312590223</v>
      </c>
      <c r="E312" s="5" t="s">
        <v>309</v>
      </c>
    </row>
    <row r="313" spans="1:5" x14ac:dyDescent="0.25">
      <c r="A313" s="6" t="s">
        <v>310</v>
      </c>
      <c r="B313" s="5">
        <f t="shared" si="13"/>
        <v>25552.536334109609</v>
      </c>
      <c r="C313" s="5">
        <f t="shared" si="14"/>
        <v>511.05072668219219</v>
      </c>
      <c r="D313" s="5">
        <f t="shared" si="12"/>
        <v>153.31521800465765</v>
      </c>
      <c r="E313" s="5" t="s">
        <v>310</v>
      </c>
    </row>
    <row r="314" spans="1:5" x14ac:dyDescent="0.25">
      <c r="A314" s="6" t="s">
        <v>311</v>
      </c>
      <c r="B314" s="5">
        <f t="shared" si="13"/>
        <v>25705.851552114265</v>
      </c>
      <c r="C314" s="5">
        <f t="shared" si="14"/>
        <v>514.11703104228536</v>
      </c>
      <c r="D314" s="5">
        <f t="shared" si="12"/>
        <v>154.23510931268561</v>
      </c>
      <c r="E314" s="5" t="s">
        <v>311</v>
      </c>
    </row>
    <row r="315" spans="1:5" x14ac:dyDescent="0.25">
      <c r="A315" s="6" t="s">
        <v>312</v>
      </c>
      <c r="B315" s="5">
        <f t="shared" si="13"/>
        <v>25860.086661426951</v>
      </c>
      <c r="C315" s="5">
        <f t="shared" si="14"/>
        <v>517.20173322853907</v>
      </c>
      <c r="D315" s="5">
        <f t="shared" si="12"/>
        <v>155.16051996856172</v>
      </c>
      <c r="E315" s="5" t="s">
        <v>312</v>
      </c>
    </row>
    <row r="316" spans="1:5" x14ac:dyDescent="0.25">
      <c r="A316" s="6" t="s">
        <v>313</v>
      </c>
      <c r="B316" s="5">
        <f t="shared" si="13"/>
        <v>26015.247181395513</v>
      </c>
      <c r="C316" s="5">
        <f t="shared" si="14"/>
        <v>520.30494362791023</v>
      </c>
      <c r="D316" s="5">
        <f t="shared" si="12"/>
        <v>156.09148308837305</v>
      </c>
      <c r="E316" s="5" t="s">
        <v>313</v>
      </c>
    </row>
    <row r="317" spans="1:5" x14ac:dyDescent="0.25">
      <c r="A317" s="6" t="s">
        <v>314</v>
      </c>
      <c r="B317" s="5">
        <f t="shared" si="13"/>
        <v>26171.338664483887</v>
      </c>
      <c r="C317" s="5">
        <f t="shared" si="14"/>
        <v>523.42677328967773</v>
      </c>
      <c r="D317" s="5">
        <f t="shared" si="12"/>
        <v>157.0280319869033</v>
      </c>
      <c r="E317" s="5" t="s">
        <v>314</v>
      </c>
    </row>
    <row r="318" spans="1:5" x14ac:dyDescent="0.25">
      <c r="A318" s="6" t="s">
        <v>315</v>
      </c>
      <c r="B318" s="5">
        <f t="shared" si="13"/>
        <v>26328.366696470788</v>
      </c>
      <c r="C318" s="5">
        <f t="shared" si="14"/>
        <v>526.56733392941578</v>
      </c>
      <c r="D318" s="5">
        <f t="shared" si="12"/>
        <v>157.97020017882474</v>
      </c>
      <c r="E318" s="5" t="s">
        <v>315</v>
      </c>
    </row>
    <row r="319" spans="1:5" x14ac:dyDescent="0.25">
      <c r="A319" s="6" t="s">
        <v>316</v>
      </c>
      <c r="B319" s="5">
        <f t="shared" si="13"/>
        <v>26486.336896649613</v>
      </c>
      <c r="C319" s="5">
        <f t="shared" si="14"/>
        <v>529.72673793299225</v>
      </c>
      <c r="D319" s="5">
        <f t="shared" si="12"/>
        <v>158.91802137989768</v>
      </c>
      <c r="E319" s="5" t="s">
        <v>316</v>
      </c>
    </row>
    <row r="320" spans="1:5" x14ac:dyDescent="0.25">
      <c r="A320" s="6" t="s">
        <v>317</v>
      </c>
      <c r="B320" s="5">
        <f t="shared" si="13"/>
        <v>26645.25491802951</v>
      </c>
      <c r="C320" s="5">
        <f t="shared" si="14"/>
        <v>532.90509836059016</v>
      </c>
      <c r="D320" s="5">
        <f t="shared" si="12"/>
        <v>159.87152950817705</v>
      </c>
      <c r="E320" s="5" t="s">
        <v>317</v>
      </c>
    </row>
    <row r="321" spans="1:5" x14ac:dyDescent="0.25">
      <c r="A321" s="6" t="s">
        <v>318</v>
      </c>
      <c r="B321" s="5">
        <f t="shared" si="13"/>
        <v>26805.126447537688</v>
      </c>
      <c r="C321" s="5">
        <f t="shared" si="14"/>
        <v>536.10252895075382</v>
      </c>
      <c r="D321" s="5">
        <f t="shared" si="12"/>
        <v>160.83075868522613</v>
      </c>
      <c r="E321" s="5" t="s">
        <v>318</v>
      </c>
    </row>
    <row r="322" spans="1:5" x14ac:dyDescent="0.25">
      <c r="A322" s="6" t="s">
        <v>319</v>
      </c>
      <c r="B322" s="5">
        <f t="shared" si="13"/>
        <v>26965.957206222916</v>
      </c>
      <c r="C322" s="5">
        <f t="shared" si="14"/>
        <v>539.31914412445838</v>
      </c>
      <c r="D322" s="5">
        <f t="shared" si="12"/>
        <v>161.79574323733752</v>
      </c>
      <c r="E322" s="5" t="s">
        <v>319</v>
      </c>
    </row>
    <row r="323" spans="1:5" x14ac:dyDescent="0.25">
      <c r="A323" s="6" t="s">
        <v>320</v>
      </c>
      <c r="B323" s="5">
        <f t="shared" si="13"/>
        <v>27127.752949460253</v>
      </c>
      <c r="C323" s="5">
        <f t="shared" si="14"/>
        <v>542.55505898920512</v>
      </c>
      <c r="D323" s="5">
        <f t="shared" si="12"/>
        <v>162.76651769676153</v>
      </c>
      <c r="E323" s="5" t="s">
        <v>320</v>
      </c>
    </row>
    <row r="324" spans="1:5" x14ac:dyDescent="0.25">
      <c r="A324" s="6" t="s">
        <v>321</v>
      </c>
      <c r="B324" s="5">
        <f t="shared" si="13"/>
        <v>27290.519467157013</v>
      </c>
      <c r="C324" s="5">
        <f t="shared" si="14"/>
        <v>545.81038934314029</v>
      </c>
      <c r="D324" s="5">
        <f t="shared" si="12"/>
        <v>163.74311680294207</v>
      </c>
      <c r="E324" s="5" t="s">
        <v>321</v>
      </c>
    </row>
    <row r="325" spans="1:5" x14ac:dyDescent="0.25">
      <c r="A325" s="6" t="s">
        <v>322</v>
      </c>
      <c r="B325" s="5">
        <f t="shared" si="13"/>
        <v>27454.262583959957</v>
      </c>
      <c r="C325" s="5">
        <f t="shared" si="14"/>
        <v>549.08525167919913</v>
      </c>
      <c r="D325" s="5">
        <f t="shared" si="12"/>
        <v>164.72557550375973</v>
      </c>
      <c r="E325" s="5" t="s">
        <v>322</v>
      </c>
    </row>
    <row r="326" spans="1:5" x14ac:dyDescent="0.25">
      <c r="A326" s="6" t="s">
        <v>323</v>
      </c>
      <c r="B326" s="5">
        <f t="shared" si="13"/>
        <v>27618.988159463715</v>
      </c>
      <c r="C326" s="5">
        <f t="shared" si="14"/>
        <v>552.37976318927429</v>
      </c>
      <c r="D326" s="5">
        <f t="shared" ref="D326:D389" si="15">C326*$B$2*$E$2</f>
        <v>165.71392895678227</v>
      </c>
      <c r="E326" s="5" t="s">
        <v>323</v>
      </c>
    </row>
    <row r="327" spans="1:5" x14ac:dyDescent="0.25">
      <c r="A327" s="6" t="s">
        <v>324</v>
      </c>
      <c r="B327" s="5">
        <f t="shared" si="13"/>
        <v>27784.702088420498</v>
      </c>
      <c r="C327" s="5">
        <f t="shared" si="14"/>
        <v>555.69404176840999</v>
      </c>
      <c r="D327" s="5">
        <f t="shared" si="15"/>
        <v>166.70821253052299</v>
      </c>
      <c r="E327" s="5" t="s">
        <v>324</v>
      </c>
    </row>
    <row r="328" spans="1:5" x14ac:dyDescent="0.25">
      <c r="A328" s="6" t="s">
        <v>325</v>
      </c>
      <c r="B328" s="5">
        <f t="shared" si="13"/>
        <v>27951.410300951022</v>
      </c>
      <c r="C328" s="5">
        <f t="shared" si="14"/>
        <v>559.02820601902044</v>
      </c>
      <c r="D328" s="5">
        <f t="shared" si="15"/>
        <v>167.70846180570612</v>
      </c>
      <c r="E328" s="5" t="s">
        <v>325</v>
      </c>
    </row>
    <row r="329" spans="1:5" x14ac:dyDescent="0.25">
      <c r="A329" s="6" t="s">
        <v>326</v>
      </c>
      <c r="B329" s="5">
        <f t="shared" ref="B329:B392" si="16">B328+D328</f>
        <v>28119.118762756727</v>
      </c>
      <c r="C329" s="5">
        <f t="shared" ref="C329:C392" si="17">B329*$C$2</f>
        <v>562.38237525513455</v>
      </c>
      <c r="D329" s="5">
        <f t="shared" si="15"/>
        <v>168.71471257654036</v>
      </c>
      <c r="E329" s="5" t="s">
        <v>326</v>
      </c>
    </row>
    <row r="330" spans="1:5" x14ac:dyDescent="0.25">
      <c r="A330" s="6" t="s">
        <v>327</v>
      </c>
      <c r="B330" s="5">
        <f t="shared" si="16"/>
        <v>28287.833475333267</v>
      </c>
      <c r="C330" s="5">
        <f t="shared" si="17"/>
        <v>565.75666950666539</v>
      </c>
      <c r="D330" s="5">
        <f t="shared" si="15"/>
        <v>169.72700085199961</v>
      </c>
      <c r="E330" s="5" t="s">
        <v>327</v>
      </c>
    </row>
    <row r="331" spans="1:5" x14ac:dyDescent="0.25">
      <c r="A331" s="6" t="s">
        <v>328</v>
      </c>
      <c r="B331" s="5">
        <f t="shared" si="16"/>
        <v>28457.560476185266</v>
      </c>
      <c r="C331" s="5">
        <f t="shared" si="17"/>
        <v>569.15120952370535</v>
      </c>
      <c r="D331" s="5">
        <f t="shared" si="15"/>
        <v>170.74536285711159</v>
      </c>
      <c r="E331" s="5" t="s">
        <v>328</v>
      </c>
    </row>
    <row r="332" spans="1:5" x14ac:dyDescent="0.25">
      <c r="A332" s="6" t="s">
        <v>329</v>
      </c>
      <c r="B332" s="5">
        <f t="shared" si="16"/>
        <v>28628.305839042379</v>
      </c>
      <c r="C332" s="5">
        <f t="shared" si="17"/>
        <v>572.56611678084755</v>
      </c>
      <c r="D332" s="5">
        <f t="shared" si="15"/>
        <v>171.76983503425427</v>
      </c>
      <c r="E332" s="5" t="s">
        <v>329</v>
      </c>
    </row>
    <row r="333" spans="1:5" x14ac:dyDescent="0.25">
      <c r="A333" s="6" t="s">
        <v>330</v>
      </c>
      <c r="B333" s="5">
        <f t="shared" si="16"/>
        <v>28800.075674076634</v>
      </c>
      <c r="C333" s="5">
        <f t="shared" si="17"/>
        <v>576.0015134815327</v>
      </c>
      <c r="D333" s="5">
        <f t="shared" si="15"/>
        <v>172.8004540444598</v>
      </c>
      <c r="E333" s="5" t="s">
        <v>330</v>
      </c>
    </row>
    <row r="334" spans="1:5" x14ac:dyDescent="0.25">
      <c r="A334" s="6" t="s">
        <v>331</v>
      </c>
      <c r="B334" s="5">
        <f t="shared" si="16"/>
        <v>28972.876128121094</v>
      </c>
      <c r="C334" s="5">
        <f t="shared" si="17"/>
        <v>579.4575225624219</v>
      </c>
      <c r="D334" s="5">
        <f t="shared" si="15"/>
        <v>173.83725676872658</v>
      </c>
      <c r="E334" s="5" t="s">
        <v>331</v>
      </c>
    </row>
    <row r="335" spans="1:5" x14ac:dyDescent="0.25">
      <c r="A335" s="6" t="s">
        <v>332</v>
      </c>
      <c r="B335" s="5">
        <f t="shared" si="16"/>
        <v>29146.713384889819</v>
      </c>
      <c r="C335" s="5">
        <f t="shared" si="17"/>
        <v>582.93426769779637</v>
      </c>
      <c r="D335" s="5">
        <f t="shared" si="15"/>
        <v>174.8802803093389</v>
      </c>
      <c r="E335" s="5" t="s">
        <v>332</v>
      </c>
    </row>
    <row r="336" spans="1:5" x14ac:dyDescent="0.25">
      <c r="A336" s="6" t="s">
        <v>333</v>
      </c>
      <c r="B336" s="5">
        <f t="shared" si="16"/>
        <v>29321.593665199158</v>
      </c>
      <c r="C336" s="5">
        <f t="shared" si="17"/>
        <v>586.43187330398314</v>
      </c>
      <c r="D336" s="5">
        <f t="shared" si="15"/>
        <v>175.92956199119493</v>
      </c>
      <c r="E336" s="5" t="s">
        <v>333</v>
      </c>
    </row>
    <row r="337" spans="1:5" x14ac:dyDescent="0.25">
      <c r="A337" s="6" t="s">
        <v>334</v>
      </c>
      <c r="B337" s="5">
        <f t="shared" si="16"/>
        <v>29497.523227190351</v>
      </c>
      <c r="C337" s="5">
        <f t="shared" si="17"/>
        <v>589.95046454380702</v>
      </c>
      <c r="D337" s="5">
        <f t="shared" si="15"/>
        <v>176.98513936314211</v>
      </c>
      <c r="E337" s="5" t="s">
        <v>334</v>
      </c>
    </row>
    <row r="338" spans="1:5" x14ac:dyDescent="0.25">
      <c r="A338" s="6" t="s">
        <v>335</v>
      </c>
      <c r="B338" s="5">
        <f t="shared" si="16"/>
        <v>29674.508366553495</v>
      </c>
      <c r="C338" s="5">
        <f t="shared" si="17"/>
        <v>593.49016733106987</v>
      </c>
      <c r="D338" s="5">
        <f t="shared" si="15"/>
        <v>178.04705019932095</v>
      </c>
      <c r="E338" s="5" t="s">
        <v>335</v>
      </c>
    </row>
    <row r="339" spans="1:5" x14ac:dyDescent="0.25">
      <c r="A339" s="6" t="s">
        <v>336</v>
      </c>
      <c r="B339" s="5">
        <f t="shared" si="16"/>
        <v>29852.555416752817</v>
      </c>
      <c r="C339" s="5">
        <f t="shared" si="17"/>
        <v>597.05110833505637</v>
      </c>
      <c r="D339" s="5">
        <f t="shared" si="15"/>
        <v>179.1153325005169</v>
      </c>
      <c r="E339" s="5" t="s">
        <v>336</v>
      </c>
    </row>
    <row r="340" spans="1:5" x14ac:dyDescent="0.25">
      <c r="A340" s="6" t="s">
        <v>337</v>
      </c>
      <c r="B340" s="5">
        <f t="shared" si="16"/>
        <v>30031.670749253335</v>
      </c>
      <c r="C340" s="5">
        <f t="shared" si="17"/>
        <v>600.63341498506668</v>
      </c>
      <c r="D340" s="5">
        <f t="shared" si="15"/>
        <v>180.19002449551999</v>
      </c>
      <c r="E340" s="5" t="s">
        <v>337</v>
      </c>
    </row>
    <row r="341" spans="1:5" x14ac:dyDescent="0.25">
      <c r="A341" s="6" t="s">
        <v>338</v>
      </c>
      <c r="B341" s="5">
        <f t="shared" si="16"/>
        <v>30211.860773748856</v>
      </c>
      <c r="C341" s="5">
        <f t="shared" si="17"/>
        <v>604.23721547497712</v>
      </c>
      <c r="D341" s="5">
        <f t="shared" si="15"/>
        <v>181.27116464249312</v>
      </c>
      <c r="E341" s="5" t="s">
        <v>338</v>
      </c>
    </row>
    <row r="342" spans="1:5" x14ac:dyDescent="0.25">
      <c r="A342" s="6" t="s">
        <v>339</v>
      </c>
      <c r="B342" s="5">
        <f t="shared" si="16"/>
        <v>30393.131938391351</v>
      </c>
      <c r="C342" s="5">
        <f t="shared" si="17"/>
        <v>607.86263876782698</v>
      </c>
      <c r="D342" s="5">
        <f t="shared" si="15"/>
        <v>182.35879163034809</v>
      </c>
      <c r="E342" s="5" t="s">
        <v>339</v>
      </c>
    </row>
    <row r="343" spans="1:5" x14ac:dyDescent="0.25">
      <c r="A343" s="6" t="s">
        <v>340</v>
      </c>
      <c r="B343" s="5">
        <f t="shared" si="16"/>
        <v>30575.490730021698</v>
      </c>
      <c r="C343" s="5">
        <f t="shared" si="17"/>
        <v>611.50981460043397</v>
      </c>
      <c r="D343" s="5">
        <f t="shared" si="15"/>
        <v>183.45294438013019</v>
      </c>
      <c r="E343" s="5" t="s">
        <v>340</v>
      </c>
    </row>
    <row r="344" spans="1:5" x14ac:dyDescent="0.25">
      <c r="A344" s="6" t="s">
        <v>341</v>
      </c>
      <c r="B344" s="5">
        <f t="shared" si="16"/>
        <v>30758.943674401828</v>
      </c>
      <c r="C344" s="5">
        <f t="shared" si="17"/>
        <v>615.17887348803652</v>
      </c>
      <c r="D344" s="5">
        <f t="shared" si="15"/>
        <v>184.55366204641095</v>
      </c>
      <c r="E344" s="5" t="s">
        <v>341</v>
      </c>
    </row>
    <row r="345" spans="1:5" x14ac:dyDescent="0.25">
      <c r="A345" s="6" t="s">
        <v>342</v>
      </c>
      <c r="B345" s="5">
        <f t="shared" si="16"/>
        <v>30943.497336448239</v>
      </c>
      <c r="C345" s="5">
        <f t="shared" si="17"/>
        <v>618.86994672896481</v>
      </c>
      <c r="D345" s="5">
        <f t="shared" si="15"/>
        <v>185.66098401868945</v>
      </c>
      <c r="E345" s="5" t="s">
        <v>342</v>
      </c>
    </row>
    <row r="346" spans="1:5" x14ac:dyDescent="0.25">
      <c r="A346" s="6" t="s">
        <v>343</v>
      </c>
      <c r="B346" s="5">
        <f t="shared" si="16"/>
        <v>31129.15832046693</v>
      </c>
      <c r="C346" s="5">
        <f t="shared" si="17"/>
        <v>622.58316640933856</v>
      </c>
      <c r="D346" s="5">
        <f t="shared" si="15"/>
        <v>186.77494992280157</v>
      </c>
      <c r="E346" s="5" t="s">
        <v>343</v>
      </c>
    </row>
    <row r="347" spans="1:5" x14ac:dyDescent="0.25">
      <c r="A347" s="6" t="s">
        <v>344</v>
      </c>
      <c r="B347" s="5">
        <f t="shared" si="16"/>
        <v>31315.933270389731</v>
      </c>
      <c r="C347" s="5">
        <f t="shared" si="17"/>
        <v>626.31866540779458</v>
      </c>
      <c r="D347" s="5">
        <f t="shared" si="15"/>
        <v>187.89559962233838</v>
      </c>
      <c r="E347" s="5" t="s">
        <v>344</v>
      </c>
    </row>
    <row r="348" spans="1:5" x14ac:dyDescent="0.25">
      <c r="A348" s="6" t="s">
        <v>345</v>
      </c>
      <c r="B348" s="5">
        <f t="shared" si="16"/>
        <v>31503.828870012068</v>
      </c>
      <c r="C348" s="5">
        <f t="shared" si="17"/>
        <v>630.07657740024138</v>
      </c>
      <c r="D348" s="5">
        <f t="shared" si="15"/>
        <v>189.0229732200724</v>
      </c>
      <c r="E348" s="5" t="s">
        <v>345</v>
      </c>
    </row>
    <row r="349" spans="1:5" x14ac:dyDescent="0.25">
      <c r="A349" s="6" t="s">
        <v>346</v>
      </c>
      <c r="B349" s="5">
        <f t="shared" si="16"/>
        <v>31692.85184323214</v>
      </c>
      <c r="C349" s="5">
        <f t="shared" si="17"/>
        <v>633.85703686464285</v>
      </c>
      <c r="D349" s="5">
        <f t="shared" si="15"/>
        <v>190.15711105939286</v>
      </c>
      <c r="E349" s="5" t="s">
        <v>346</v>
      </c>
    </row>
    <row r="350" spans="1:5" x14ac:dyDescent="0.25">
      <c r="A350" s="6" t="s">
        <v>347</v>
      </c>
      <c r="B350" s="5">
        <f t="shared" si="16"/>
        <v>31883.008954291534</v>
      </c>
      <c r="C350" s="5">
        <f t="shared" si="17"/>
        <v>637.66017908583069</v>
      </c>
      <c r="D350" s="5">
        <f t="shared" si="15"/>
        <v>191.29805372574921</v>
      </c>
      <c r="E350" s="5" t="s">
        <v>347</v>
      </c>
    </row>
    <row r="351" spans="1:5" x14ac:dyDescent="0.25">
      <c r="A351" s="6" t="s">
        <v>348</v>
      </c>
      <c r="B351" s="5">
        <f t="shared" si="16"/>
        <v>32074.307008017284</v>
      </c>
      <c r="C351" s="5">
        <f t="shared" si="17"/>
        <v>641.48614016034571</v>
      </c>
      <c r="D351" s="5">
        <f t="shared" si="15"/>
        <v>192.44584204810371</v>
      </c>
      <c r="E351" s="5" t="s">
        <v>348</v>
      </c>
    </row>
    <row r="352" spans="1:5" x14ac:dyDescent="0.25">
      <c r="A352" s="6" t="s">
        <v>349</v>
      </c>
      <c r="B352" s="5">
        <f t="shared" si="16"/>
        <v>32266.752850065386</v>
      </c>
      <c r="C352" s="5">
        <f t="shared" si="17"/>
        <v>645.33505700130775</v>
      </c>
      <c r="D352" s="5">
        <f t="shared" si="15"/>
        <v>193.60051710039232</v>
      </c>
      <c r="E352" s="5" t="s">
        <v>349</v>
      </c>
    </row>
    <row r="353" spans="1:5" x14ac:dyDescent="0.25">
      <c r="A353" s="6" t="s">
        <v>350</v>
      </c>
      <c r="B353" s="5">
        <f t="shared" si="16"/>
        <v>32460.353367165779</v>
      </c>
      <c r="C353" s="5">
        <f t="shared" si="17"/>
        <v>649.20706734331554</v>
      </c>
      <c r="D353" s="5">
        <f t="shared" si="15"/>
        <v>194.76212020299465</v>
      </c>
      <c r="E353" s="5" t="s">
        <v>350</v>
      </c>
    </row>
    <row r="354" spans="1:5" x14ac:dyDescent="0.25">
      <c r="A354" s="6" t="s">
        <v>351</v>
      </c>
      <c r="B354" s="5">
        <f t="shared" si="16"/>
        <v>32655.115487368774</v>
      </c>
      <c r="C354" s="5">
        <f t="shared" si="17"/>
        <v>653.10230974737544</v>
      </c>
      <c r="D354" s="5">
        <f t="shared" si="15"/>
        <v>195.93069292421262</v>
      </c>
      <c r="E354" s="5" t="s">
        <v>351</v>
      </c>
    </row>
    <row r="355" spans="1:5" x14ac:dyDescent="0.25">
      <c r="A355" s="6" t="s">
        <v>352</v>
      </c>
      <c r="B355" s="5">
        <f t="shared" si="16"/>
        <v>32851.046180292986</v>
      </c>
      <c r="C355" s="5">
        <f t="shared" si="17"/>
        <v>657.02092360585971</v>
      </c>
      <c r="D355" s="5">
        <f t="shared" si="15"/>
        <v>197.1062770817579</v>
      </c>
      <c r="E355" s="5" t="s">
        <v>352</v>
      </c>
    </row>
    <row r="356" spans="1:5" x14ac:dyDescent="0.25">
      <c r="A356" s="6" t="s">
        <v>353</v>
      </c>
      <c r="B356" s="5">
        <f t="shared" si="16"/>
        <v>33048.152457374745</v>
      </c>
      <c r="C356" s="5">
        <f t="shared" si="17"/>
        <v>660.96304914749487</v>
      </c>
      <c r="D356" s="5">
        <f t="shared" si="15"/>
        <v>198.28891474424844</v>
      </c>
      <c r="E356" s="5" t="s">
        <v>353</v>
      </c>
    </row>
    <row r="357" spans="1:5" x14ac:dyDescent="0.25">
      <c r="A357" s="6" t="s">
        <v>354</v>
      </c>
      <c r="B357" s="5">
        <f t="shared" si="16"/>
        <v>33246.441372118992</v>
      </c>
      <c r="C357" s="5">
        <f t="shared" si="17"/>
        <v>664.92882744237988</v>
      </c>
      <c r="D357" s="5">
        <f t="shared" si="15"/>
        <v>199.47864823271397</v>
      </c>
      <c r="E357" s="5" t="s">
        <v>354</v>
      </c>
    </row>
    <row r="358" spans="1:5" x14ac:dyDescent="0.25">
      <c r="A358" s="6" t="s">
        <v>355</v>
      </c>
      <c r="B358" s="5">
        <f t="shared" si="16"/>
        <v>33445.920020351703</v>
      </c>
      <c r="C358" s="5">
        <f t="shared" si="17"/>
        <v>668.91840040703403</v>
      </c>
      <c r="D358" s="5">
        <f t="shared" si="15"/>
        <v>200.67552012211021</v>
      </c>
      <c r="E358" s="5" t="s">
        <v>355</v>
      </c>
    </row>
    <row r="359" spans="1:5" x14ac:dyDescent="0.25">
      <c r="A359" s="6" t="s">
        <v>356</v>
      </c>
      <c r="B359" s="5">
        <f t="shared" si="16"/>
        <v>33646.595540473812</v>
      </c>
      <c r="C359" s="5">
        <f t="shared" si="17"/>
        <v>672.93191080947622</v>
      </c>
      <c r="D359" s="5">
        <f t="shared" si="15"/>
        <v>201.87957324284287</v>
      </c>
      <c r="E359" s="5" t="s">
        <v>356</v>
      </c>
    </row>
    <row r="360" spans="1:5" x14ac:dyDescent="0.25">
      <c r="A360" s="6" t="s">
        <v>357</v>
      </c>
      <c r="B360" s="5">
        <f t="shared" si="16"/>
        <v>33848.475113716653</v>
      </c>
      <c r="C360" s="5">
        <f t="shared" si="17"/>
        <v>676.96950227433308</v>
      </c>
      <c r="D360" s="5">
        <f t="shared" si="15"/>
        <v>203.09085068229993</v>
      </c>
      <c r="E360" s="5" t="s">
        <v>357</v>
      </c>
    </row>
    <row r="361" spans="1:5" x14ac:dyDescent="0.25">
      <c r="A361" s="6" t="s">
        <v>358</v>
      </c>
      <c r="B361" s="5">
        <f t="shared" si="16"/>
        <v>34051.565964398957</v>
      </c>
      <c r="C361" s="5">
        <f t="shared" si="17"/>
        <v>681.03131928797916</v>
      </c>
      <c r="D361" s="5">
        <f t="shared" si="15"/>
        <v>204.30939578639374</v>
      </c>
      <c r="E361" s="5" t="s">
        <v>358</v>
      </c>
    </row>
    <row r="362" spans="1:5" x14ac:dyDescent="0.25">
      <c r="A362" s="6" t="s">
        <v>359</v>
      </c>
      <c r="B362" s="5">
        <f t="shared" si="16"/>
        <v>34255.875360185353</v>
      </c>
      <c r="C362" s="5">
        <f t="shared" si="17"/>
        <v>685.11750720370708</v>
      </c>
      <c r="D362" s="5">
        <f t="shared" si="15"/>
        <v>205.53525216111211</v>
      </c>
      <c r="E362" s="5" t="s">
        <v>359</v>
      </c>
    </row>
    <row r="363" spans="1:5" x14ac:dyDescent="0.25">
      <c r="A363" s="6" t="s">
        <v>360</v>
      </c>
      <c r="B363" s="5">
        <f t="shared" si="16"/>
        <v>34461.410612346466</v>
      </c>
      <c r="C363" s="5">
        <f t="shared" si="17"/>
        <v>689.22821224692939</v>
      </c>
      <c r="D363" s="5">
        <f t="shared" si="15"/>
        <v>206.76846367407882</v>
      </c>
      <c r="E363" s="5" t="s">
        <v>360</v>
      </c>
    </row>
    <row r="364" spans="1:5" x14ac:dyDescent="0.25">
      <c r="A364" s="6" t="s">
        <v>361</v>
      </c>
      <c r="B364" s="5">
        <f t="shared" si="16"/>
        <v>34668.179076020548</v>
      </c>
      <c r="C364" s="5">
        <f t="shared" si="17"/>
        <v>693.363581520411</v>
      </c>
      <c r="D364" s="5">
        <f t="shared" si="15"/>
        <v>208.0090744561233</v>
      </c>
      <c r="E364" s="5" t="s">
        <v>361</v>
      </c>
    </row>
    <row r="365" spans="1:5" x14ac:dyDescent="0.25">
      <c r="A365" s="6" t="s">
        <v>362</v>
      </c>
      <c r="B365" s="5">
        <f t="shared" si="16"/>
        <v>34876.188150476672</v>
      </c>
      <c r="C365" s="5">
        <f t="shared" si="17"/>
        <v>697.52376300953347</v>
      </c>
      <c r="D365" s="5">
        <f t="shared" si="15"/>
        <v>209.25712890286005</v>
      </c>
      <c r="E365" s="5" t="s">
        <v>362</v>
      </c>
    </row>
    <row r="366" spans="1:5" x14ac:dyDescent="0.25">
      <c r="A366" s="6" t="s">
        <v>363</v>
      </c>
      <c r="B366" s="5">
        <f t="shared" si="16"/>
        <v>35085.445279379528</v>
      </c>
      <c r="C366" s="5">
        <f t="shared" si="17"/>
        <v>701.70890558759061</v>
      </c>
      <c r="D366" s="5">
        <f t="shared" si="15"/>
        <v>210.51267167627717</v>
      </c>
      <c r="E366" s="5" t="s">
        <v>363</v>
      </c>
    </row>
    <row r="367" spans="1:5" x14ac:dyDescent="0.25">
      <c r="A367" s="6" t="s">
        <v>364</v>
      </c>
      <c r="B367" s="5">
        <f t="shared" si="16"/>
        <v>35295.957951055803</v>
      </c>
      <c r="C367" s="5">
        <f t="shared" si="17"/>
        <v>705.91915902111612</v>
      </c>
      <c r="D367" s="5">
        <f t="shared" si="15"/>
        <v>211.77574770633484</v>
      </c>
      <c r="E367" s="5" t="s">
        <v>364</v>
      </c>
    </row>
    <row r="368" spans="1:5" x14ac:dyDescent="0.25">
      <c r="A368" s="6" t="s">
        <v>365</v>
      </c>
      <c r="B368" s="5">
        <f t="shared" si="16"/>
        <v>35507.733698762138</v>
      </c>
      <c r="C368" s="5">
        <f t="shared" si="17"/>
        <v>710.15467397524276</v>
      </c>
      <c r="D368" s="5">
        <f t="shared" si="15"/>
        <v>213.04640219257283</v>
      </c>
      <c r="E368" s="5" t="s">
        <v>365</v>
      </c>
    </row>
    <row r="369" spans="1:5" x14ac:dyDescent="0.25">
      <c r="A369" s="6" t="s">
        <v>366</v>
      </c>
      <c r="B369" s="5">
        <f t="shared" si="16"/>
        <v>35720.780100954711</v>
      </c>
      <c r="C369" s="5">
        <f t="shared" si="17"/>
        <v>714.41560201909419</v>
      </c>
      <c r="D369" s="5">
        <f t="shared" si="15"/>
        <v>214.32468060572825</v>
      </c>
      <c r="E369" s="5" t="s">
        <v>366</v>
      </c>
    </row>
    <row r="370" spans="1:5" x14ac:dyDescent="0.25">
      <c r="A370" s="6" t="s">
        <v>367</v>
      </c>
      <c r="B370" s="5">
        <f t="shared" si="16"/>
        <v>35935.10478156044</v>
      </c>
      <c r="C370" s="5">
        <f t="shared" si="17"/>
        <v>718.70209563120886</v>
      </c>
      <c r="D370" s="5">
        <f t="shared" si="15"/>
        <v>215.61062868936264</v>
      </c>
      <c r="E370" s="5" t="s">
        <v>367</v>
      </c>
    </row>
    <row r="371" spans="1:5" x14ac:dyDescent="0.25">
      <c r="A371" s="6" t="s">
        <v>368</v>
      </c>
      <c r="B371" s="5">
        <f t="shared" si="16"/>
        <v>36150.715410249803</v>
      </c>
      <c r="C371" s="5">
        <f t="shared" si="17"/>
        <v>723.01430820499604</v>
      </c>
      <c r="D371" s="5">
        <f t="shared" si="15"/>
        <v>216.90429246149881</v>
      </c>
      <c r="E371" s="5" t="s">
        <v>368</v>
      </c>
    </row>
    <row r="372" spans="1:5" x14ac:dyDescent="0.25">
      <c r="A372" s="6" t="s">
        <v>369</v>
      </c>
      <c r="B372" s="5">
        <f t="shared" si="16"/>
        <v>36367.619702711301</v>
      </c>
      <c r="C372" s="5">
        <f t="shared" si="17"/>
        <v>727.35239405422601</v>
      </c>
      <c r="D372" s="5">
        <f t="shared" si="15"/>
        <v>218.2057182162678</v>
      </c>
      <c r="E372" s="5" t="s">
        <v>369</v>
      </c>
    </row>
    <row r="373" spans="1:5" x14ac:dyDescent="0.25">
      <c r="A373" s="6" t="s">
        <v>370</v>
      </c>
      <c r="B373" s="5">
        <f t="shared" si="16"/>
        <v>36585.825420927569</v>
      </c>
      <c r="C373" s="5">
        <f t="shared" si="17"/>
        <v>731.71650841855137</v>
      </c>
      <c r="D373" s="5">
        <f t="shared" si="15"/>
        <v>219.51495252556541</v>
      </c>
      <c r="E373" s="5" t="s">
        <v>370</v>
      </c>
    </row>
    <row r="374" spans="1:5" x14ac:dyDescent="0.25">
      <c r="A374" s="6" t="s">
        <v>371</v>
      </c>
      <c r="B374" s="5">
        <f t="shared" si="16"/>
        <v>36805.340373453131</v>
      </c>
      <c r="C374" s="5">
        <f t="shared" si="17"/>
        <v>736.10680746906269</v>
      </c>
      <c r="D374" s="5">
        <f t="shared" si="15"/>
        <v>220.83204224071881</v>
      </c>
      <c r="E374" s="5" t="s">
        <v>371</v>
      </c>
    </row>
    <row r="375" spans="1:5" x14ac:dyDescent="0.25">
      <c r="A375" s="6" t="s">
        <v>372</v>
      </c>
      <c r="B375" s="5">
        <f t="shared" si="16"/>
        <v>37026.172415693851</v>
      </c>
      <c r="C375" s="5">
        <f t="shared" si="17"/>
        <v>740.523448313877</v>
      </c>
      <c r="D375" s="5">
        <f t="shared" si="15"/>
        <v>222.1570344941631</v>
      </c>
      <c r="E375" s="5" t="s">
        <v>372</v>
      </c>
    </row>
    <row r="376" spans="1:5" x14ac:dyDescent="0.25">
      <c r="A376" s="6" t="s">
        <v>373</v>
      </c>
      <c r="B376" s="5">
        <f t="shared" si="16"/>
        <v>37248.329450188015</v>
      </c>
      <c r="C376" s="5">
        <f t="shared" si="17"/>
        <v>744.9665890037603</v>
      </c>
      <c r="D376" s="5">
        <f t="shared" si="15"/>
        <v>223.48997670112809</v>
      </c>
      <c r="E376" s="5" t="s">
        <v>373</v>
      </c>
    </row>
    <row r="377" spans="1:5" x14ac:dyDescent="0.25">
      <c r="A377" s="6" t="s">
        <v>374</v>
      </c>
      <c r="B377" s="5">
        <f t="shared" si="16"/>
        <v>37471.819426889146</v>
      </c>
      <c r="C377" s="5">
        <f t="shared" si="17"/>
        <v>749.43638853778293</v>
      </c>
      <c r="D377" s="5">
        <f t="shared" si="15"/>
        <v>224.83091656133487</v>
      </c>
      <c r="E377" s="5" t="s">
        <v>374</v>
      </c>
    </row>
    <row r="378" spans="1:5" x14ac:dyDescent="0.25">
      <c r="A378" s="6" t="s">
        <v>375</v>
      </c>
      <c r="B378" s="5">
        <f t="shared" si="16"/>
        <v>37696.650343450478</v>
      </c>
      <c r="C378" s="5">
        <f t="shared" si="17"/>
        <v>753.93300686900955</v>
      </c>
      <c r="D378" s="5">
        <f t="shared" si="15"/>
        <v>226.17990206070286</v>
      </c>
      <c r="E378" s="5" t="s">
        <v>375</v>
      </c>
    </row>
    <row r="379" spans="1:5" x14ac:dyDescent="0.25">
      <c r="A379" s="6" t="s">
        <v>376</v>
      </c>
      <c r="B379" s="5">
        <f t="shared" si="16"/>
        <v>37922.830245511177</v>
      </c>
      <c r="C379" s="5">
        <f t="shared" si="17"/>
        <v>758.45660491022352</v>
      </c>
      <c r="D379" s="5">
        <f t="shared" si="15"/>
        <v>227.53698147306704</v>
      </c>
      <c r="E379" s="5" t="s">
        <v>376</v>
      </c>
    </row>
    <row r="380" spans="1:5" x14ac:dyDescent="0.25">
      <c r="A380" s="6" t="s">
        <v>377</v>
      </c>
      <c r="B380" s="5">
        <f t="shared" si="16"/>
        <v>38150.367226984243</v>
      </c>
      <c r="C380" s="5">
        <f t="shared" si="17"/>
        <v>763.00734453968482</v>
      </c>
      <c r="D380" s="5">
        <f t="shared" si="15"/>
        <v>228.90220336190544</v>
      </c>
      <c r="E380" s="5" t="s">
        <v>377</v>
      </c>
    </row>
    <row r="381" spans="1:5" x14ac:dyDescent="0.25">
      <c r="A381" s="6" t="s">
        <v>378</v>
      </c>
      <c r="B381" s="5">
        <f t="shared" si="16"/>
        <v>38379.269430346147</v>
      </c>
      <c r="C381" s="5">
        <f t="shared" si="17"/>
        <v>767.58538860692295</v>
      </c>
      <c r="D381" s="5">
        <f t="shared" si="15"/>
        <v>230.27561658207688</v>
      </c>
      <c r="E381" s="5" t="s">
        <v>378</v>
      </c>
    </row>
    <row r="382" spans="1:5" x14ac:dyDescent="0.25">
      <c r="A382" s="6" t="s">
        <v>379</v>
      </c>
      <c r="B382" s="5">
        <f t="shared" si="16"/>
        <v>38609.545046928222</v>
      </c>
      <c r="C382" s="5">
        <f t="shared" si="17"/>
        <v>772.19090093856448</v>
      </c>
      <c r="D382" s="5">
        <f t="shared" si="15"/>
        <v>231.65727028156934</v>
      </c>
      <c r="E382" s="5" t="s">
        <v>379</v>
      </c>
    </row>
    <row r="383" spans="1:5" x14ac:dyDescent="0.25">
      <c r="A383" s="6" t="s">
        <v>380</v>
      </c>
      <c r="B383" s="5">
        <f t="shared" si="16"/>
        <v>38841.202317209791</v>
      </c>
      <c r="C383" s="5">
        <f t="shared" si="17"/>
        <v>776.82404634419584</v>
      </c>
      <c r="D383" s="5">
        <f t="shared" si="15"/>
        <v>233.04721390325875</v>
      </c>
      <c r="E383" s="5" t="s">
        <v>380</v>
      </c>
    </row>
    <row r="384" spans="1:5" x14ac:dyDescent="0.25">
      <c r="A384" s="6" t="s">
        <v>381</v>
      </c>
      <c r="B384" s="5">
        <f t="shared" si="16"/>
        <v>39074.249531113048</v>
      </c>
      <c r="C384" s="5">
        <f t="shared" si="17"/>
        <v>781.48499062226097</v>
      </c>
      <c r="D384" s="5">
        <f t="shared" si="15"/>
        <v>234.44549718667827</v>
      </c>
      <c r="E384" s="5" t="s">
        <v>381</v>
      </c>
    </row>
    <row r="385" spans="1:5" x14ac:dyDescent="0.25">
      <c r="A385" s="6" t="s">
        <v>382</v>
      </c>
      <c r="B385" s="5">
        <f t="shared" si="16"/>
        <v>39308.695028299728</v>
      </c>
      <c r="C385" s="5">
        <f t="shared" si="17"/>
        <v>786.17390056599459</v>
      </c>
      <c r="D385" s="5">
        <f t="shared" si="15"/>
        <v>235.85217016979837</v>
      </c>
      <c r="E385" s="5" t="s">
        <v>382</v>
      </c>
    </row>
    <row r="386" spans="1:5" x14ac:dyDescent="0.25">
      <c r="A386" s="6" t="s">
        <v>383</v>
      </c>
      <c r="B386" s="5">
        <f t="shared" si="16"/>
        <v>39544.547198469525</v>
      </c>
      <c r="C386" s="5">
        <f t="shared" si="17"/>
        <v>790.89094396939049</v>
      </c>
      <c r="D386" s="5">
        <f t="shared" si="15"/>
        <v>237.26728319081712</v>
      </c>
      <c r="E386" s="5" t="s">
        <v>383</v>
      </c>
    </row>
    <row r="387" spans="1:5" x14ac:dyDescent="0.25">
      <c r="A387" s="6" t="s">
        <v>384</v>
      </c>
      <c r="B387" s="5">
        <f t="shared" si="16"/>
        <v>39781.814481660345</v>
      </c>
      <c r="C387" s="5">
        <f t="shared" si="17"/>
        <v>795.63628963320696</v>
      </c>
      <c r="D387" s="5">
        <f t="shared" si="15"/>
        <v>238.69088688996209</v>
      </c>
      <c r="E387" s="5" t="s">
        <v>384</v>
      </c>
    </row>
    <row r="388" spans="1:5" x14ac:dyDescent="0.25">
      <c r="A388" s="6" t="s">
        <v>385</v>
      </c>
      <c r="B388" s="5">
        <f t="shared" si="16"/>
        <v>40020.505368550308</v>
      </c>
      <c r="C388" s="5">
        <f t="shared" si="17"/>
        <v>800.41010737100623</v>
      </c>
      <c r="D388" s="5">
        <f t="shared" si="15"/>
        <v>240.12303221130185</v>
      </c>
      <c r="E388" s="5" t="s">
        <v>385</v>
      </c>
    </row>
    <row r="389" spans="1:5" x14ac:dyDescent="0.25">
      <c r="A389" s="6" t="s">
        <v>386</v>
      </c>
      <c r="B389" s="5">
        <f t="shared" si="16"/>
        <v>40260.628400761612</v>
      </c>
      <c r="C389" s="5">
        <f t="shared" si="17"/>
        <v>805.21256801523225</v>
      </c>
      <c r="D389" s="5">
        <f t="shared" si="15"/>
        <v>241.56377040456965</v>
      </c>
      <c r="E389" s="5" t="s">
        <v>386</v>
      </c>
    </row>
    <row r="390" spans="1:5" x14ac:dyDescent="0.25">
      <c r="A390" s="6" t="s">
        <v>387</v>
      </c>
      <c r="B390" s="5">
        <f t="shared" si="16"/>
        <v>40502.192171166185</v>
      </c>
      <c r="C390" s="5">
        <f t="shared" si="17"/>
        <v>810.04384342332378</v>
      </c>
      <c r="D390" s="5">
        <f t="shared" ref="D390:D453" si="18">C390*$B$2*$E$2</f>
        <v>243.01315302699712</v>
      </c>
      <c r="E390" s="5" t="s">
        <v>387</v>
      </c>
    </row>
    <row r="391" spans="1:5" x14ac:dyDescent="0.25">
      <c r="A391" s="6" t="s">
        <v>388</v>
      </c>
      <c r="B391" s="5">
        <f t="shared" si="16"/>
        <v>40745.205324193179</v>
      </c>
      <c r="C391" s="5">
        <f t="shared" si="17"/>
        <v>814.90410648386364</v>
      </c>
      <c r="D391" s="5">
        <f t="shared" si="18"/>
        <v>244.47123194515908</v>
      </c>
      <c r="E391" s="5" t="s">
        <v>388</v>
      </c>
    </row>
    <row r="392" spans="1:5" x14ac:dyDescent="0.25">
      <c r="A392" s="6" t="s">
        <v>389</v>
      </c>
      <c r="B392" s="5">
        <f t="shared" si="16"/>
        <v>40989.676556138336</v>
      </c>
      <c r="C392" s="5">
        <f t="shared" si="17"/>
        <v>819.79353112276669</v>
      </c>
      <c r="D392" s="5">
        <f t="shared" si="18"/>
        <v>245.93805933683001</v>
      </c>
      <c r="E392" s="5" t="s">
        <v>389</v>
      </c>
    </row>
    <row r="393" spans="1:5" x14ac:dyDescent="0.25">
      <c r="A393" s="6" t="s">
        <v>390</v>
      </c>
      <c r="B393" s="5">
        <f t="shared" ref="B393:B456" si="19">B392+D392</f>
        <v>41235.61461547517</v>
      </c>
      <c r="C393" s="5">
        <f t="shared" ref="C393:C456" si="20">B393*$C$2</f>
        <v>824.71229230950337</v>
      </c>
      <c r="D393" s="5">
        <f t="shared" si="18"/>
        <v>247.413687692851</v>
      </c>
      <c r="E393" s="5" t="s">
        <v>390</v>
      </c>
    </row>
    <row r="394" spans="1:5" x14ac:dyDescent="0.25">
      <c r="A394" s="6" t="s">
        <v>391</v>
      </c>
      <c r="B394" s="5">
        <f t="shared" si="19"/>
        <v>41483.028303168023</v>
      </c>
      <c r="C394" s="5">
        <f t="shared" si="20"/>
        <v>829.66056606336042</v>
      </c>
      <c r="D394" s="5">
        <f t="shared" si="18"/>
        <v>248.8981698190081</v>
      </c>
      <c r="E394" s="5" t="s">
        <v>391</v>
      </c>
    </row>
    <row r="395" spans="1:5" x14ac:dyDescent="0.25">
      <c r="A395" s="6" t="s">
        <v>392</v>
      </c>
      <c r="B395" s="5">
        <f t="shared" si="19"/>
        <v>41731.926472987034</v>
      </c>
      <c r="C395" s="5">
        <f t="shared" si="20"/>
        <v>834.63852945974065</v>
      </c>
      <c r="D395" s="5">
        <f t="shared" si="18"/>
        <v>250.39155883792219</v>
      </c>
      <c r="E395" s="5" t="s">
        <v>392</v>
      </c>
    </row>
    <row r="396" spans="1:5" x14ac:dyDescent="0.25">
      <c r="A396" s="6" t="s">
        <v>393</v>
      </c>
      <c r="B396" s="5">
        <f t="shared" si="19"/>
        <v>41982.318031824958</v>
      </c>
      <c r="C396" s="5">
        <f t="shared" si="20"/>
        <v>839.64636063649914</v>
      </c>
      <c r="D396" s="5">
        <f t="shared" si="18"/>
        <v>251.89390819094973</v>
      </c>
      <c r="E396" s="5" t="s">
        <v>393</v>
      </c>
    </row>
    <row r="397" spans="1:5" x14ac:dyDescent="0.25">
      <c r="A397" s="6" t="s">
        <v>394</v>
      </c>
      <c r="B397" s="5">
        <f t="shared" si="19"/>
        <v>42234.211940015906</v>
      </c>
      <c r="C397" s="5">
        <f t="shared" si="20"/>
        <v>844.6842388003181</v>
      </c>
      <c r="D397" s="5">
        <f t="shared" si="18"/>
        <v>253.40527164009541</v>
      </c>
      <c r="E397" s="5" t="s">
        <v>394</v>
      </c>
    </row>
    <row r="398" spans="1:5" x14ac:dyDescent="0.25">
      <c r="A398" s="6" t="s">
        <v>395</v>
      </c>
      <c r="B398" s="5">
        <f t="shared" si="19"/>
        <v>42487.617211656005</v>
      </c>
      <c r="C398" s="5">
        <f t="shared" si="20"/>
        <v>849.75234423312008</v>
      </c>
      <c r="D398" s="5">
        <f t="shared" si="18"/>
        <v>254.92570326993601</v>
      </c>
      <c r="E398" s="5" t="s">
        <v>395</v>
      </c>
    </row>
    <row r="399" spans="1:5" x14ac:dyDescent="0.25">
      <c r="A399" s="6" t="s">
        <v>396</v>
      </c>
      <c r="B399" s="5">
        <f t="shared" si="19"/>
        <v>42742.542914925943</v>
      </c>
      <c r="C399" s="5">
        <f t="shared" si="20"/>
        <v>854.85085829851892</v>
      </c>
      <c r="D399" s="5">
        <f t="shared" si="18"/>
        <v>256.45525748955566</v>
      </c>
      <c r="E399" s="5" t="s">
        <v>396</v>
      </c>
    </row>
    <row r="400" spans="1:5" x14ac:dyDescent="0.25">
      <c r="A400" s="6" t="s">
        <v>397</v>
      </c>
      <c r="B400" s="5">
        <f t="shared" si="19"/>
        <v>42998.9981724155</v>
      </c>
      <c r="C400" s="5">
        <f t="shared" si="20"/>
        <v>859.97996344831006</v>
      </c>
      <c r="D400" s="5">
        <f t="shared" si="18"/>
        <v>257.99398903449298</v>
      </c>
      <c r="E400" s="5" t="s">
        <v>397</v>
      </c>
    </row>
    <row r="401" spans="1:5" x14ac:dyDescent="0.25">
      <c r="A401" s="6" t="s">
        <v>398</v>
      </c>
      <c r="B401" s="5">
        <f t="shared" si="19"/>
        <v>43256.992161449991</v>
      </c>
      <c r="C401" s="5">
        <f t="shared" si="20"/>
        <v>865.13984322899978</v>
      </c>
      <c r="D401" s="5">
        <f t="shared" si="18"/>
        <v>259.54195296869995</v>
      </c>
      <c r="E401" s="5" t="s">
        <v>398</v>
      </c>
    </row>
    <row r="402" spans="1:5" x14ac:dyDescent="0.25">
      <c r="A402" s="6" t="s">
        <v>399</v>
      </c>
      <c r="B402" s="5">
        <f t="shared" si="19"/>
        <v>43516.53411441869</v>
      </c>
      <c r="C402" s="5">
        <f t="shared" si="20"/>
        <v>870.33068228837385</v>
      </c>
      <c r="D402" s="5">
        <f t="shared" si="18"/>
        <v>261.09920468651217</v>
      </c>
      <c r="E402" s="5" t="s">
        <v>399</v>
      </c>
    </row>
    <row r="403" spans="1:5" x14ac:dyDescent="0.25">
      <c r="A403" s="6" t="s">
        <v>400</v>
      </c>
      <c r="B403" s="5">
        <f t="shared" si="19"/>
        <v>43777.633319105204</v>
      </c>
      <c r="C403" s="5">
        <f t="shared" si="20"/>
        <v>875.55266638210412</v>
      </c>
      <c r="D403" s="5">
        <f t="shared" si="18"/>
        <v>262.66579991463124</v>
      </c>
      <c r="E403" s="5" t="s">
        <v>400</v>
      </c>
    </row>
    <row r="404" spans="1:5" x14ac:dyDescent="0.25">
      <c r="A404" s="6" t="s">
        <v>401</v>
      </c>
      <c r="B404" s="5">
        <f t="shared" si="19"/>
        <v>44040.299119019837</v>
      </c>
      <c r="C404" s="5">
        <f t="shared" si="20"/>
        <v>880.80598238039681</v>
      </c>
      <c r="D404" s="5">
        <f t="shared" si="18"/>
        <v>264.24179471411901</v>
      </c>
      <c r="E404" s="5" t="s">
        <v>401</v>
      </c>
    </row>
    <row r="405" spans="1:5" x14ac:dyDescent="0.25">
      <c r="A405" s="6" t="s">
        <v>402</v>
      </c>
      <c r="B405" s="5">
        <f t="shared" si="19"/>
        <v>44304.540913733959</v>
      </c>
      <c r="C405" s="5">
        <f t="shared" si="20"/>
        <v>886.09081827467924</v>
      </c>
      <c r="D405" s="5">
        <f t="shared" si="18"/>
        <v>265.82724548240378</v>
      </c>
      <c r="E405" s="5" t="s">
        <v>402</v>
      </c>
    </row>
    <row r="406" spans="1:5" x14ac:dyDescent="0.25">
      <c r="A406" s="6" t="s">
        <v>403</v>
      </c>
      <c r="B406" s="5">
        <f t="shared" si="19"/>
        <v>44570.368159216363</v>
      </c>
      <c r="C406" s="5">
        <f t="shared" si="20"/>
        <v>891.40736318432732</v>
      </c>
      <c r="D406" s="5">
        <f t="shared" si="18"/>
        <v>267.42220895529817</v>
      </c>
      <c r="E406" s="5" t="s">
        <v>403</v>
      </c>
    </row>
    <row r="407" spans="1:5" x14ac:dyDescent="0.25">
      <c r="A407" s="6" t="s">
        <v>404</v>
      </c>
      <c r="B407" s="5">
        <f t="shared" si="19"/>
        <v>44837.790368171663</v>
      </c>
      <c r="C407" s="5">
        <f t="shared" si="20"/>
        <v>896.75580736343329</v>
      </c>
      <c r="D407" s="5">
        <f t="shared" si="18"/>
        <v>269.02674220902998</v>
      </c>
      <c r="E407" s="5" t="s">
        <v>404</v>
      </c>
    </row>
    <row r="408" spans="1:5" x14ac:dyDescent="0.25">
      <c r="A408" s="6" t="s">
        <v>405</v>
      </c>
      <c r="B408" s="5">
        <f t="shared" si="19"/>
        <v>45106.817110380696</v>
      </c>
      <c r="C408" s="5">
        <f t="shared" si="20"/>
        <v>902.13634220761389</v>
      </c>
      <c r="D408" s="5">
        <f t="shared" si="18"/>
        <v>270.64090266228413</v>
      </c>
      <c r="E408" s="5" t="s">
        <v>405</v>
      </c>
    </row>
    <row r="409" spans="1:5" x14ac:dyDescent="0.25">
      <c r="A409" s="6" t="s">
        <v>406</v>
      </c>
      <c r="B409" s="5">
        <f t="shared" si="19"/>
        <v>45377.458013042982</v>
      </c>
      <c r="C409" s="5">
        <f t="shared" si="20"/>
        <v>907.54916026085971</v>
      </c>
      <c r="D409" s="5">
        <f t="shared" si="18"/>
        <v>272.26474807825792</v>
      </c>
      <c r="E409" s="5" t="s">
        <v>406</v>
      </c>
    </row>
    <row r="410" spans="1:5" x14ac:dyDescent="0.25">
      <c r="A410" s="6" t="s">
        <v>407</v>
      </c>
      <c r="B410" s="5">
        <f t="shared" si="19"/>
        <v>45649.722761121237</v>
      </c>
      <c r="C410" s="5">
        <f t="shared" si="20"/>
        <v>912.99445522242479</v>
      </c>
      <c r="D410" s="5">
        <f t="shared" si="18"/>
        <v>273.89833656672744</v>
      </c>
      <c r="E410" s="5" t="s">
        <v>407</v>
      </c>
    </row>
    <row r="411" spans="1:5" x14ac:dyDescent="0.25">
      <c r="A411" s="6" t="s">
        <v>408</v>
      </c>
      <c r="B411" s="5">
        <f t="shared" si="19"/>
        <v>45923.621097687967</v>
      </c>
      <c r="C411" s="5">
        <f t="shared" si="20"/>
        <v>918.47242195375929</v>
      </c>
      <c r="D411" s="5">
        <f t="shared" si="18"/>
        <v>275.54172658612777</v>
      </c>
      <c r="E411" s="5" t="s">
        <v>408</v>
      </c>
    </row>
    <row r="412" spans="1:5" x14ac:dyDescent="0.25">
      <c r="A412" s="6" t="s">
        <v>409</v>
      </c>
      <c r="B412" s="5">
        <f t="shared" si="19"/>
        <v>46199.162824274092</v>
      </c>
      <c r="C412" s="5">
        <f t="shared" si="20"/>
        <v>923.98325648548189</v>
      </c>
      <c r="D412" s="5">
        <f t="shared" si="18"/>
        <v>277.19497694564456</v>
      </c>
      <c r="E412" s="5" t="s">
        <v>409</v>
      </c>
    </row>
    <row r="413" spans="1:5" x14ac:dyDescent="0.25">
      <c r="A413" s="6" t="s">
        <v>410</v>
      </c>
      <c r="B413" s="5">
        <f t="shared" si="19"/>
        <v>46476.357801219739</v>
      </c>
      <c r="C413" s="5">
        <f t="shared" si="20"/>
        <v>929.5271560243948</v>
      </c>
      <c r="D413" s="5">
        <f t="shared" si="18"/>
        <v>278.85814680731841</v>
      </c>
      <c r="E413" s="5" t="s">
        <v>410</v>
      </c>
    </row>
    <row r="414" spans="1:5" x14ac:dyDescent="0.25">
      <c r="A414" s="6" t="s">
        <v>411</v>
      </c>
      <c r="B414" s="5">
        <f t="shared" si="19"/>
        <v>46755.215948027057</v>
      </c>
      <c r="C414" s="5">
        <f t="shared" si="20"/>
        <v>935.10431896054115</v>
      </c>
      <c r="D414" s="5">
        <f t="shared" si="18"/>
        <v>280.53129568816234</v>
      </c>
      <c r="E414" s="5" t="s">
        <v>411</v>
      </c>
    </row>
    <row r="415" spans="1:5" x14ac:dyDescent="0.25">
      <c r="A415" s="6" t="s">
        <v>412</v>
      </c>
      <c r="B415" s="5">
        <f t="shared" si="19"/>
        <v>47035.747243715217</v>
      </c>
      <c r="C415" s="5">
        <f t="shared" si="20"/>
        <v>940.71494487430436</v>
      </c>
      <c r="D415" s="5">
        <f t="shared" si="18"/>
        <v>282.2144834622913</v>
      </c>
      <c r="E415" s="5" t="s">
        <v>412</v>
      </c>
    </row>
    <row r="416" spans="1:5" x14ac:dyDescent="0.25">
      <c r="A416" s="6" t="s">
        <v>413</v>
      </c>
      <c r="B416" s="5">
        <f t="shared" si="19"/>
        <v>47317.961727177506</v>
      </c>
      <c r="C416" s="5">
        <f t="shared" si="20"/>
        <v>946.35923454355009</v>
      </c>
      <c r="D416" s="5">
        <f t="shared" si="18"/>
        <v>283.90777036306503</v>
      </c>
      <c r="E416" s="5" t="s">
        <v>413</v>
      </c>
    </row>
    <row r="417" spans="1:5" x14ac:dyDescent="0.25">
      <c r="A417" s="6" t="s">
        <v>414</v>
      </c>
      <c r="B417" s="5">
        <f t="shared" si="19"/>
        <v>47601.869497540574</v>
      </c>
      <c r="C417" s="5">
        <f t="shared" si="20"/>
        <v>952.03738995081153</v>
      </c>
      <c r="D417" s="5">
        <f t="shared" si="18"/>
        <v>285.61121698524346</v>
      </c>
      <c r="E417" s="5" t="s">
        <v>414</v>
      </c>
    </row>
    <row r="418" spans="1:5" x14ac:dyDescent="0.25">
      <c r="A418" s="6" t="s">
        <v>415</v>
      </c>
      <c r="B418" s="5">
        <f t="shared" si="19"/>
        <v>47887.480714525816</v>
      </c>
      <c r="C418" s="5">
        <f t="shared" si="20"/>
        <v>957.74961429051632</v>
      </c>
      <c r="D418" s="5">
        <f t="shared" si="18"/>
        <v>287.32488428715487</v>
      </c>
      <c r="E418" s="5" t="s">
        <v>415</v>
      </c>
    </row>
    <row r="419" spans="1:5" x14ac:dyDescent="0.25">
      <c r="A419" s="6" t="s">
        <v>416</v>
      </c>
      <c r="B419" s="5">
        <f t="shared" si="19"/>
        <v>48174.805598812971</v>
      </c>
      <c r="C419" s="5">
        <f t="shared" si="20"/>
        <v>963.49611197625939</v>
      </c>
      <c r="D419" s="5">
        <f t="shared" si="18"/>
        <v>289.04883359287783</v>
      </c>
      <c r="E419" s="5" t="s">
        <v>416</v>
      </c>
    </row>
    <row r="420" spans="1:5" x14ac:dyDescent="0.25">
      <c r="A420" s="6" t="s">
        <v>417</v>
      </c>
      <c r="B420" s="5">
        <f t="shared" si="19"/>
        <v>48463.854432405846</v>
      </c>
      <c r="C420" s="5">
        <f t="shared" si="20"/>
        <v>969.27708864811689</v>
      </c>
      <c r="D420" s="5">
        <f t="shared" si="18"/>
        <v>290.78312659443503</v>
      </c>
      <c r="E420" s="5" t="s">
        <v>417</v>
      </c>
    </row>
    <row r="421" spans="1:5" x14ac:dyDescent="0.25">
      <c r="A421" s="6" t="s">
        <v>418</v>
      </c>
      <c r="B421" s="5">
        <f t="shared" si="19"/>
        <v>48754.637559000279</v>
      </c>
      <c r="C421" s="5">
        <f t="shared" si="20"/>
        <v>975.09275118000562</v>
      </c>
      <c r="D421" s="5">
        <f t="shared" si="18"/>
        <v>292.52782535400166</v>
      </c>
      <c r="E421" s="5" t="s">
        <v>418</v>
      </c>
    </row>
    <row r="422" spans="1:5" x14ac:dyDescent="0.25">
      <c r="A422" s="6" t="s">
        <v>419</v>
      </c>
      <c r="B422" s="5">
        <f t="shared" si="19"/>
        <v>49047.165384354281</v>
      </c>
      <c r="C422" s="5">
        <f t="shared" si="20"/>
        <v>980.94330768708562</v>
      </c>
      <c r="D422" s="5">
        <f t="shared" si="18"/>
        <v>294.28299230612566</v>
      </c>
      <c r="E422" s="5" t="s">
        <v>419</v>
      </c>
    </row>
    <row r="423" spans="1:5" x14ac:dyDescent="0.25">
      <c r="A423" s="6" t="s">
        <v>420</v>
      </c>
      <c r="B423" s="5">
        <f t="shared" si="19"/>
        <v>49341.44837666041</v>
      </c>
      <c r="C423" s="5">
        <f t="shared" si="20"/>
        <v>986.82896753320824</v>
      </c>
      <c r="D423" s="5">
        <f t="shared" si="18"/>
        <v>296.04869025996248</v>
      </c>
      <c r="E423" s="5" t="s">
        <v>420</v>
      </c>
    </row>
    <row r="424" spans="1:5" x14ac:dyDescent="0.25">
      <c r="A424" s="6" t="s">
        <v>421</v>
      </c>
      <c r="B424" s="5">
        <f t="shared" si="19"/>
        <v>49637.497066920376</v>
      </c>
      <c r="C424" s="5">
        <f t="shared" si="20"/>
        <v>992.74994133840755</v>
      </c>
      <c r="D424" s="5">
        <f t="shared" si="18"/>
        <v>297.82498240152228</v>
      </c>
      <c r="E424" s="5" t="s">
        <v>421</v>
      </c>
    </row>
    <row r="425" spans="1:5" x14ac:dyDescent="0.25">
      <c r="A425" s="6" t="s">
        <v>422</v>
      </c>
      <c r="B425" s="5">
        <f t="shared" si="19"/>
        <v>49935.322049321898</v>
      </c>
      <c r="C425" s="5">
        <f t="shared" si="20"/>
        <v>998.706440986438</v>
      </c>
      <c r="D425" s="5">
        <f t="shared" si="18"/>
        <v>299.61193229593141</v>
      </c>
      <c r="E425" s="5" t="s">
        <v>422</v>
      </c>
    </row>
    <row r="426" spans="1:5" x14ac:dyDescent="0.25">
      <c r="A426" s="6" t="s">
        <v>423</v>
      </c>
      <c r="B426" s="5">
        <f t="shared" si="19"/>
        <v>50234.933981617833</v>
      </c>
      <c r="C426" s="5">
        <f t="shared" si="20"/>
        <v>1004.6986796323566</v>
      </c>
      <c r="D426" s="5">
        <f t="shared" si="18"/>
        <v>301.409603889707</v>
      </c>
      <c r="E426" s="5" t="s">
        <v>423</v>
      </c>
    </row>
    <row r="427" spans="1:5" x14ac:dyDescent="0.25">
      <c r="A427" s="6" t="s">
        <v>424</v>
      </c>
      <c r="B427" s="5">
        <f t="shared" si="19"/>
        <v>50536.343585507537</v>
      </c>
      <c r="C427" s="5">
        <f t="shared" si="20"/>
        <v>1010.7268717101507</v>
      </c>
      <c r="D427" s="5">
        <f t="shared" si="18"/>
        <v>303.2180615130452</v>
      </c>
      <c r="E427" s="5" t="s">
        <v>424</v>
      </c>
    </row>
    <row r="428" spans="1:5" x14ac:dyDescent="0.25">
      <c r="A428" s="6" t="s">
        <v>425</v>
      </c>
      <c r="B428" s="5">
        <f t="shared" si="19"/>
        <v>50839.561647020579</v>
      </c>
      <c r="C428" s="5">
        <f t="shared" si="20"/>
        <v>1016.7912329404116</v>
      </c>
      <c r="D428" s="5">
        <f t="shared" si="18"/>
        <v>305.03736988212347</v>
      </c>
      <c r="E428" s="5" t="s">
        <v>425</v>
      </c>
    </row>
    <row r="429" spans="1:5" x14ac:dyDescent="0.25">
      <c r="A429" s="6" t="s">
        <v>426</v>
      </c>
      <c r="B429" s="5">
        <f t="shared" si="19"/>
        <v>51144.599016902699</v>
      </c>
      <c r="C429" s="5">
        <f t="shared" si="20"/>
        <v>1022.8919803380541</v>
      </c>
      <c r="D429" s="5">
        <f t="shared" si="18"/>
        <v>306.86759410141622</v>
      </c>
      <c r="E429" s="5" t="s">
        <v>426</v>
      </c>
    </row>
    <row r="430" spans="1:5" x14ac:dyDescent="0.25">
      <c r="A430" s="6" t="s">
        <v>427</v>
      </c>
      <c r="B430" s="5">
        <f t="shared" si="19"/>
        <v>51451.466611004114</v>
      </c>
      <c r="C430" s="5">
        <f t="shared" si="20"/>
        <v>1029.0293322200823</v>
      </c>
      <c r="D430" s="5">
        <f t="shared" si="18"/>
        <v>308.70879966602467</v>
      </c>
      <c r="E430" s="5" t="s">
        <v>427</v>
      </c>
    </row>
    <row r="431" spans="1:5" x14ac:dyDescent="0.25">
      <c r="A431" s="6" t="s">
        <v>428</v>
      </c>
      <c r="B431" s="5">
        <f t="shared" si="19"/>
        <v>51760.175410670141</v>
      </c>
      <c r="C431" s="5">
        <f t="shared" si="20"/>
        <v>1035.2035082134028</v>
      </c>
      <c r="D431" s="5">
        <f t="shared" si="18"/>
        <v>310.5610524640208</v>
      </c>
      <c r="E431" s="5" t="s">
        <v>428</v>
      </c>
    </row>
    <row r="432" spans="1:5" x14ac:dyDescent="0.25">
      <c r="A432" s="6" t="s">
        <v>429</v>
      </c>
      <c r="B432" s="5">
        <f t="shared" si="19"/>
        <v>52070.736463134162</v>
      </c>
      <c r="C432" s="5">
        <f t="shared" si="20"/>
        <v>1041.4147292626833</v>
      </c>
      <c r="D432" s="5">
        <f t="shared" si="18"/>
        <v>312.42441877880498</v>
      </c>
      <c r="E432" s="5" t="s">
        <v>429</v>
      </c>
    </row>
    <row r="433" spans="1:5" x14ac:dyDescent="0.25">
      <c r="A433" s="6" t="s">
        <v>430</v>
      </c>
      <c r="B433" s="5">
        <f t="shared" si="19"/>
        <v>52383.160881912969</v>
      </c>
      <c r="C433" s="5">
        <f t="shared" si="20"/>
        <v>1047.6632176382593</v>
      </c>
      <c r="D433" s="5">
        <f t="shared" si="18"/>
        <v>314.29896529147777</v>
      </c>
      <c r="E433" s="5" t="s">
        <v>430</v>
      </c>
    </row>
    <row r="434" spans="1:5" x14ac:dyDescent="0.25">
      <c r="A434" s="6" t="s">
        <v>431</v>
      </c>
      <c r="B434" s="5">
        <f t="shared" si="19"/>
        <v>52697.459847204445</v>
      </c>
      <c r="C434" s="5">
        <f t="shared" si="20"/>
        <v>1053.949196944089</v>
      </c>
      <c r="D434" s="5">
        <f t="shared" si="18"/>
        <v>316.18475908322665</v>
      </c>
      <c r="E434" s="5" t="s">
        <v>431</v>
      </c>
    </row>
    <row r="435" spans="1:5" x14ac:dyDescent="0.25">
      <c r="A435" s="6" t="s">
        <v>432</v>
      </c>
      <c r="B435" s="5">
        <f t="shared" si="19"/>
        <v>53013.644606287671</v>
      </c>
      <c r="C435" s="5">
        <f t="shared" si="20"/>
        <v>1060.2728921257535</v>
      </c>
      <c r="D435" s="5">
        <f t="shared" si="18"/>
        <v>318.08186763772602</v>
      </c>
      <c r="E435" s="5" t="s">
        <v>432</v>
      </c>
    </row>
    <row r="436" spans="1:5" x14ac:dyDescent="0.25">
      <c r="A436" s="6" t="s">
        <v>433</v>
      </c>
      <c r="B436" s="5">
        <f t="shared" si="19"/>
        <v>53331.726473925395</v>
      </c>
      <c r="C436" s="5">
        <f t="shared" si="20"/>
        <v>1066.6345294785078</v>
      </c>
      <c r="D436" s="5">
        <f t="shared" si="18"/>
        <v>319.99035884355231</v>
      </c>
      <c r="E436" s="5" t="s">
        <v>433</v>
      </c>
    </row>
    <row r="437" spans="1:5" x14ac:dyDescent="0.25">
      <c r="A437" s="6" t="s">
        <v>434</v>
      </c>
      <c r="B437" s="5">
        <f t="shared" si="19"/>
        <v>53651.716832768951</v>
      </c>
      <c r="C437" s="5">
        <f t="shared" si="20"/>
        <v>1073.0343366553791</v>
      </c>
      <c r="D437" s="5">
        <f t="shared" si="18"/>
        <v>321.91030099661373</v>
      </c>
      <c r="E437" s="5" t="s">
        <v>434</v>
      </c>
    </row>
    <row r="438" spans="1:5" x14ac:dyDescent="0.25">
      <c r="A438" s="6" t="s">
        <v>435</v>
      </c>
      <c r="B438" s="5">
        <f t="shared" si="19"/>
        <v>53973.627133765563</v>
      </c>
      <c r="C438" s="5">
        <f t="shared" si="20"/>
        <v>1079.4725426753114</v>
      </c>
      <c r="D438" s="5">
        <f t="shared" si="18"/>
        <v>323.84176280259339</v>
      </c>
      <c r="E438" s="5" t="s">
        <v>435</v>
      </c>
    </row>
    <row r="439" spans="1:5" x14ac:dyDescent="0.25">
      <c r="A439" s="6" t="s">
        <v>436</v>
      </c>
      <c r="B439" s="5">
        <f t="shared" si="19"/>
        <v>54297.468896568156</v>
      </c>
      <c r="C439" s="5">
        <f t="shared" si="20"/>
        <v>1085.9493779313632</v>
      </c>
      <c r="D439" s="5">
        <f t="shared" si="18"/>
        <v>325.78481337940894</v>
      </c>
      <c r="E439" s="5" t="s">
        <v>436</v>
      </c>
    </row>
    <row r="440" spans="1:5" x14ac:dyDescent="0.25">
      <c r="A440" s="6" t="s">
        <v>437</v>
      </c>
      <c r="B440" s="5">
        <f t="shared" si="19"/>
        <v>54623.253709947567</v>
      </c>
      <c r="C440" s="5">
        <f t="shared" si="20"/>
        <v>1092.4650741989512</v>
      </c>
      <c r="D440" s="5">
        <f t="shared" si="18"/>
        <v>327.73952225968537</v>
      </c>
      <c r="E440" s="5" t="s">
        <v>437</v>
      </c>
    </row>
    <row r="441" spans="1:5" x14ac:dyDescent="0.25">
      <c r="A441" s="6" t="s">
        <v>438</v>
      </c>
      <c r="B441" s="5">
        <f t="shared" si="19"/>
        <v>54950.993232207249</v>
      </c>
      <c r="C441" s="5">
        <f t="shared" si="20"/>
        <v>1099.0198646441449</v>
      </c>
      <c r="D441" s="5">
        <f t="shared" si="18"/>
        <v>329.70595939324346</v>
      </c>
      <c r="E441" s="5" t="s">
        <v>438</v>
      </c>
    </row>
    <row r="442" spans="1:5" x14ac:dyDescent="0.25">
      <c r="A442" s="6" t="s">
        <v>439</v>
      </c>
      <c r="B442" s="5">
        <f t="shared" si="19"/>
        <v>55280.699191600492</v>
      </c>
      <c r="C442" s="5">
        <f t="shared" si="20"/>
        <v>1105.6139838320098</v>
      </c>
      <c r="D442" s="5">
        <f t="shared" si="18"/>
        <v>331.68419514960294</v>
      </c>
      <c r="E442" s="5" t="s">
        <v>439</v>
      </c>
    </row>
    <row r="443" spans="1:5" x14ac:dyDescent="0.25">
      <c r="A443" s="6" t="s">
        <v>440</v>
      </c>
      <c r="B443" s="5">
        <f t="shared" si="19"/>
        <v>55612.383386750094</v>
      </c>
      <c r="C443" s="5">
        <f t="shared" si="20"/>
        <v>1112.2476677350019</v>
      </c>
      <c r="D443" s="5">
        <f t="shared" si="18"/>
        <v>333.67430032050055</v>
      </c>
      <c r="E443" s="5" t="s">
        <v>440</v>
      </c>
    </row>
    <row r="444" spans="1:5" x14ac:dyDescent="0.25">
      <c r="A444" s="6" t="s">
        <v>441</v>
      </c>
      <c r="B444" s="5">
        <f t="shared" si="19"/>
        <v>55946.057687070592</v>
      </c>
      <c r="C444" s="5">
        <f t="shared" si="20"/>
        <v>1118.9211537414119</v>
      </c>
      <c r="D444" s="5">
        <f t="shared" si="18"/>
        <v>335.67634612242358</v>
      </c>
      <c r="E444" s="5" t="s">
        <v>441</v>
      </c>
    </row>
    <row r="445" spans="1:5" x14ac:dyDescent="0.25">
      <c r="A445" s="6" t="s">
        <v>442</v>
      </c>
      <c r="B445" s="5">
        <f t="shared" si="19"/>
        <v>56281.734033193017</v>
      </c>
      <c r="C445" s="5">
        <f t="shared" si="20"/>
        <v>1125.6346806638603</v>
      </c>
      <c r="D445" s="5">
        <f t="shared" si="18"/>
        <v>337.69040419915808</v>
      </c>
      <c r="E445" s="5" t="s">
        <v>442</v>
      </c>
    </row>
    <row r="446" spans="1:5" x14ac:dyDescent="0.25">
      <c r="A446" s="6" t="s">
        <v>443</v>
      </c>
      <c r="B446" s="5">
        <f t="shared" si="19"/>
        <v>56619.424437392176</v>
      </c>
      <c r="C446" s="5">
        <f t="shared" si="20"/>
        <v>1132.3884887478434</v>
      </c>
      <c r="D446" s="5">
        <f t="shared" si="18"/>
        <v>339.71654662435304</v>
      </c>
      <c r="E446" s="5" t="s">
        <v>443</v>
      </c>
    </row>
    <row r="447" spans="1:5" x14ac:dyDescent="0.25">
      <c r="A447" s="6" t="s">
        <v>444</v>
      </c>
      <c r="B447" s="5">
        <f t="shared" si="19"/>
        <v>56959.140984016529</v>
      </c>
      <c r="C447" s="5">
        <f t="shared" si="20"/>
        <v>1139.1828196803306</v>
      </c>
      <c r="D447" s="5">
        <f t="shared" si="18"/>
        <v>341.75484590409917</v>
      </c>
      <c r="E447" s="5" t="s">
        <v>444</v>
      </c>
    </row>
    <row r="448" spans="1:5" x14ac:dyDescent="0.25">
      <c r="A448" s="6" t="s">
        <v>445</v>
      </c>
      <c r="B448" s="5">
        <f t="shared" si="19"/>
        <v>57300.895829920628</v>
      </c>
      <c r="C448" s="5">
        <f t="shared" si="20"/>
        <v>1146.0179165984125</v>
      </c>
      <c r="D448" s="5">
        <f t="shared" si="18"/>
        <v>343.80537497952372</v>
      </c>
      <c r="E448" s="5" t="s">
        <v>445</v>
      </c>
    </row>
    <row r="449" spans="1:5" x14ac:dyDescent="0.25">
      <c r="A449" s="6" t="s">
        <v>446</v>
      </c>
      <c r="B449" s="5">
        <f t="shared" si="19"/>
        <v>57644.70120490015</v>
      </c>
      <c r="C449" s="5">
        <f t="shared" si="20"/>
        <v>1152.894024098003</v>
      </c>
      <c r="D449" s="5">
        <f t="shared" si="18"/>
        <v>345.86820722940087</v>
      </c>
      <c r="E449" s="5" t="s">
        <v>446</v>
      </c>
    </row>
    <row r="450" spans="1:5" x14ac:dyDescent="0.25">
      <c r="A450" s="6" t="s">
        <v>447</v>
      </c>
      <c r="B450" s="5">
        <f t="shared" si="19"/>
        <v>57990.569412129553</v>
      </c>
      <c r="C450" s="5">
        <f t="shared" si="20"/>
        <v>1159.8113882425912</v>
      </c>
      <c r="D450" s="5">
        <f t="shared" si="18"/>
        <v>347.94341647277736</v>
      </c>
      <c r="E450" s="5" t="s">
        <v>447</v>
      </c>
    </row>
    <row r="451" spans="1:5" x14ac:dyDescent="0.25">
      <c r="A451" s="6" t="s">
        <v>448</v>
      </c>
      <c r="B451" s="5">
        <f t="shared" si="19"/>
        <v>58338.512828602332</v>
      </c>
      <c r="C451" s="5">
        <f t="shared" si="20"/>
        <v>1166.7702565720467</v>
      </c>
      <c r="D451" s="5">
        <f t="shared" si="18"/>
        <v>350.03107697161403</v>
      </c>
      <c r="E451" s="5" t="s">
        <v>448</v>
      </c>
    </row>
    <row r="452" spans="1:5" x14ac:dyDescent="0.25">
      <c r="A452" s="6" t="s">
        <v>449</v>
      </c>
      <c r="B452" s="5">
        <f t="shared" si="19"/>
        <v>58688.543905573948</v>
      </c>
      <c r="C452" s="5">
        <f t="shared" si="20"/>
        <v>1173.7708781114791</v>
      </c>
      <c r="D452" s="5">
        <f t="shared" si="18"/>
        <v>352.13126343344373</v>
      </c>
      <c r="E452" s="5" t="s">
        <v>449</v>
      </c>
    </row>
    <row r="453" spans="1:5" x14ac:dyDescent="0.25">
      <c r="A453" s="6" t="s">
        <v>450</v>
      </c>
      <c r="B453" s="5">
        <f t="shared" si="19"/>
        <v>59040.675169007394</v>
      </c>
      <c r="C453" s="5">
        <f t="shared" si="20"/>
        <v>1180.8135033801479</v>
      </c>
      <c r="D453" s="5">
        <f t="shared" si="18"/>
        <v>354.24405101404437</v>
      </c>
      <c r="E453" s="5" t="s">
        <v>450</v>
      </c>
    </row>
    <row r="454" spans="1:5" x14ac:dyDescent="0.25">
      <c r="A454" s="6" t="s">
        <v>451</v>
      </c>
      <c r="B454" s="5">
        <f t="shared" si="19"/>
        <v>59394.919220021438</v>
      </c>
      <c r="C454" s="5">
        <f t="shared" si="20"/>
        <v>1187.8983844004288</v>
      </c>
      <c r="D454" s="5">
        <f t="shared" ref="D454:D517" si="21">C454*$B$2*$E$2</f>
        <v>356.36951532012864</v>
      </c>
      <c r="E454" s="5" t="s">
        <v>451</v>
      </c>
    </row>
    <row r="455" spans="1:5" x14ac:dyDescent="0.25">
      <c r="A455" s="6" t="s">
        <v>452</v>
      </c>
      <c r="B455" s="5">
        <f t="shared" si="19"/>
        <v>59751.288735341564</v>
      </c>
      <c r="C455" s="5">
        <f t="shared" si="20"/>
        <v>1195.0257747068313</v>
      </c>
      <c r="D455" s="5">
        <f t="shared" si="21"/>
        <v>358.50773241204939</v>
      </c>
      <c r="E455" s="5" t="s">
        <v>452</v>
      </c>
    </row>
    <row r="456" spans="1:5" x14ac:dyDescent="0.25">
      <c r="A456" s="6" t="s">
        <v>453</v>
      </c>
      <c r="B456" s="5">
        <f t="shared" si="19"/>
        <v>60109.796467753615</v>
      </c>
      <c r="C456" s="5">
        <f t="shared" si="20"/>
        <v>1202.1959293550724</v>
      </c>
      <c r="D456" s="5">
        <f t="shared" si="21"/>
        <v>360.6587788065217</v>
      </c>
      <c r="E456" s="5" t="s">
        <v>453</v>
      </c>
    </row>
    <row r="457" spans="1:5" x14ac:dyDescent="0.25">
      <c r="A457" s="6" t="s">
        <v>454</v>
      </c>
      <c r="B457" s="5">
        <f t="shared" ref="B457:B520" si="22">B456+D456</f>
        <v>60470.455246560137</v>
      </c>
      <c r="C457" s="5">
        <f t="shared" ref="C457:C520" si="23">B457*$C$2</f>
        <v>1209.4091049312028</v>
      </c>
      <c r="D457" s="5">
        <f t="shared" si="21"/>
        <v>362.82273147936081</v>
      </c>
      <c r="E457" s="5" t="s">
        <v>454</v>
      </c>
    </row>
    <row r="458" spans="1:5" x14ac:dyDescent="0.25">
      <c r="A458" s="6" t="s">
        <v>455</v>
      </c>
      <c r="B458" s="5">
        <f t="shared" si="22"/>
        <v>60833.277978039499</v>
      </c>
      <c r="C458" s="5">
        <f t="shared" si="23"/>
        <v>1216.6655595607899</v>
      </c>
      <c r="D458" s="5">
        <f t="shared" si="21"/>
        <v>364.99966786823694</v>
      </c>
      <c r="E458" s="5" t="s">
        <v>455</v>
      </c>
    </row>
    <row r="459" spans="1:5" x14ac:dyDescent="0.25">
      <c r="A459" s="6" t="s">
        <v>456</v>
      </c>
      <c r="B459" s="5">
        <f t="shared" si="22"/>
        <v>61198.277645907736</v>
      </c>
      <c r="C459" s="5">
        <f t="shared" si="23"/>
        <v>1223.9655529181548</v>
      </c>
      <c r="D459" s="5">
        <f t="shared" si="21"/>
        <v>367.18966587544645</v>
      </c>
      <c r="E459" s="5" t="s">
        <v>456</v>
      </c>
    </row>
    <row r="460" spans="1:5" x14ac:dyDescent="0.25">
      <c r="A460" s="6" t="s">
        <v>457</v>
      </c>
      <c r="B460" s="5">
        <f t="shared" si="22"/>
        <v>61565.467311783184</v>
      </c>
      <c r="C460" s="5">
        <f t="shared" si="23"/>
        <v>1231.3093462356637</v>
      </c>
      <c r="D460" s="5">
        <f t="shared" si="21"/>
        <v>369.39280387069908</v>
      </c>
      <c r="E460" s="5" t="s">
        <v>457</v>
      </c>
    </row>
    <row r="461" spans="1:5" x14ac:dyDescent="0.25">
      <c r="A461" s="6" t="s">
        <v>458</v>
      </c>
      <c r="B461" s="5">
        <f t="shared" si="22"/>
        <v>61934.860115653886</v>
      </c>
      <c r="C461" s="5">
        <f t="shared" si="23"/>
        <v>1238.6972023130777</v>
      </c>
      <c r="D461" s="5">
        <f t="shared" si="21"/>
        <v>371.60916069392329</v>
      </c>
      <c r="E461" s="5" t="s">
        <v>458</v>
      </c>
    </row>
    <row r="462" spans="1:5" x14ac:dyDescent="0.25">
      <c r="A462" s="6" t="s">
        <v>459</v>
      </c>
      <c r="B462" s="5">
        <f t="shared" si="22"/>
        <v>62306.469276347809</v>
      </c>
      <c r="C462" s="5">
        <f t="shared" si="23"/>
        <v>1246.1293855269562</v>
      </c>
      <c r="D462" s="5">
        <f t="shared" si="21"/>
        <v>373.83881565808684</v>
      </c>
      <c r="E462" s="5" t="s">
        <v>459</v>
      </c>
    </row>
    <row r="463" spans="1:5" x14ac:dyDescent="0.25">
      <c r="A463" s="6" t="s">
        <v>460</v>
      </c>
      <c r="B463" s="5">
        <f t="shared" si="22"/>
        <v>62680.308092005893</v>
      </c>
      <c r="C463" s="5">
        <f t="shared" si="23"/>
        <v>1253.6061618401179</v>
      </c>
      <c r="D463" s="5">
        <f t="shared" si="21"/>
        <v>376.08184855203535</v>
      </c>
      <c r="E463" s="5" t="s">
        <v>460</v>
      </c>
    </row>
    <row r="464" spans="1:5" x14ac:dyDescent="0.25">
      <c r="A464" s="6" t="s">
        <v>461</v>
      </c>
      <c r="B464" s="5">
        <f t="shared" si="22"/>
        <v>63056.389940557929</v>
      </c>
      <c r="C464" s="5">
        <f t="shared" si="23"/>
        <v>1261.1277988111585</v>
      </c>
      <c r="D464" s="5">
        <f t="shared" si="21"/>
        <v>378.33833964334752</v>
      </c>
      <c r="E464" s="5" t="s">
        <v>461</v>
      </c>
    </row>
    <row r="465" spans="1:5" x14ac:dyDescent="0.25">
      <c r="A465" s="6" t="s">
        <v>462</v>
      </c>
      <c r="B465" s="5">
        <f t="shared" si="22"/>
        <v>63434.728280201278</v>
      </c>
      <c r="C465" s="5">
        <f t="shared" si="23"/>
        <v>1268.6945656040257</v>
      </c>
      <c r="D465" s="5">
        <f t="shared" si="21"/>
        <v>380.60836968120771</v>
      </c>
      <c r="E465" s="5" t="s">
        <v>462</v>
      </c>
    </row>
    <row r="466" spans="1:5" x14ac:dyDescent="0.25">
      <c r="A466" s="6" t="s">
        <v>463</v>
      </c>
      <c r="B466" s="5">
        <f t="shared" si="22"/>
        <v>63815.336649882483</v>
      </c>
      <c r="C466" s="5">
        <f t="shared" si="23"/>
        <v>1276.3067329976498</v>
      </c>
      <c r="D466" s="5">
        <f t="shared" si="21"/>
        <v>382.89201989929489</v>
      </c>
      <c r="E466" s="5" t="s">
        <v>463</v>
      </c>
    </row>
    <row r="467" spans="1:5" x14ac:dyDescent="0.25">
      <c r="A467" s="6" t="s">
        <v>464</v>
      </c>
      <c r="B467" s="5">
        <f t="shared" si="22"/>
        <v>64198.228669781776</v>
      </c>
      <c r="C467" s="5">
        <f t="shared" si="23"/>
        <v>1283.9645733956356</v>
      </c>
      <c r="D467" s="5">
        <f t="shared" si="21"/>
        <v>385.18937201869068</v>
      </c>
      <c r="E467" s="5" t="s">
        <v>464</v>
      </c>
    </row>
    <row r="468" spans="1:5" x14ac:dyDescent="0.25">
      <c r="A468" s="6" t="s">
        <v>465</v>
      </c>
      <c r="B468" s="5">
        <f t="shared" si="22"/>
        <v>64583.418041800469</v>
      </c>
      <c r="C468" s="5">
        <f t="shared" si="23"/>
        <v>1291.6683608360095</v>
      </c>
      <c r="D468" s="5">
        <f t="shared" si="21"/>
        <v>387.50050825080285</v>
      </c>
      <c r="E468" s="5" t="s">
        <v>465</v>
      </c>
    </row>
    <row r="469" spans="1:5" x14ac:dyDescent="0.25">
      <c r="A469" s="6" t="s">
        <v>466</v>
      </c>
      <c r="B469" s="5">
        <f t="shared" si="22"/>
        <v>64970.918550051269</v>
      </c>
      <c r="C469" s="5">
        <f t="shared" si="23"/>
        <v>1299.4183710010254</v>
      </c>
      <c r="D469" s="5">
        <f t="shared" si="21"/>
        <v>389.8255113003076</v>
      </c>
      <c r="E469" s="5" t="s">
        <v>466</v>
      </c>
    </row>
    <row r="470" spans="1:5" x14ac:dyDescent="0.25">
      <c r="A470" s="6" t="s">
        <v>467</v>
      </c>
      <c r="B470" s="5">
        <f t="shared" si="22"/>
        <v>65360.744061351579</v>
      </c>
      <c r="C470" s="5">
        <f t="shared" si="23"/>
        <v>1307.2148812270316</v>
      </c>
      <c r="D470" s="5">
        <f t="shared" si="21"/>
        <v>392.16446436810946</v>
      </c>
      <c r="E470" s="5" t="s">
        <v>467</v>
      </c>
    </row>
    <row r="471" spans="1:5" x14ac:dyDescent="0.25">
      <c r="A471" s="6" t="s">
        <v>468</v>
      </c>
      <c r="B471" s="5">
        <f t="shared" si="22"/>
        <v>65752.908525719686</v>
      </c>
      <c r="C471" s="5">
        <f t="shared" si="23"/>
        <v>1315.0581705143939</v>
      </c>
      <c r="D471" s="5">
        <f t="shared" si="21"/>
        <v>394.51745115431817</v>
      </c>
      <c r="E471" s="5" t="s">
        <v>468</v>
      </c>
    </row>
    <row r="472" spans="1:5" x14ac:dyDescent="0.25">
      <c r="A472" s="6" t="s">
        <v>469</v>
      </c>
      <c r="B472" s="5">
        <f t="shared" si="22"/>
        <v>66147.425976874001</v>
      </c>
      <c r="C472" s="5">
        <f t="shared" si="23"/>
        <v>1322.94851953748</v>
      </c>
      <c r="D472" s="5">
        <f t="shared" si="21"/>
        <v>396.884555861244</v>
      </c>
      <c r="E472" s="5" t="s">
        <v>469</v>
      </c>
    </row>
    <row r="473" spans="1:5" x14ac:dyDescent="0.25">
      <c r="A473" s="6" t="s">
        <v>470</v>
      </c>
      <c r="B473" s="5">
        <f t="shared" si="22"/>
        <v>66544.310532735239</v>
      </c>
      <c r="C473" s="5">
        <f t="shared" si="23"/>
        <v>1330.8862106547049</v>
      </c>
      <c r="D473" s="5">
        <f t="shared" si="21"/>
        <v>399.26586319641143</v>
      </c>
      <c r="E473" s="5" t="s">
        <v>470</v>
      </c>
    </row>
    <row r="474" spans="1:5" x14ac:dyDescent="0.25">
      <c r="A474" s="6" t="s">
        <v>471</v>
      </c>
      <c r="B474" s="5">
        <f t="shared" si="22"/>
        <v>66943.576395931654</v>
      </c>
      <c r="C474" s="5">
        <f t="shared" si="23"/>
        <v>1338.8715279186331</v>
      </c>
      <c r="D474" s="5">
        <f t="shared" si="21"/>
        <v>401.66145837558992</v>
      </c>
      <c r="E474" s="5" t="s">
        <v>471</v>
      </c>
    </row>
    <row r="475" spans="1:5" x14ac:dyDescent="0.25">
      <c r="A475" s="6" t="s">
        <v>472</v>
      </c>
      <c r="B475" s="5">
        <f t="shared" si="22"/>
        <v>67345.237854307241</v>
      </c>
      <c r="C475" s="5">
        <f t="shared" si="23"/>
        <v>1346.9047570861449</v>
      </c>
      <c r="D475" s="5">
        <f t="shared" si="21"/>
        <v>404.07142712584346</v>
      </c>
      <c r="E475" s="5" t="s">
        <v>472</v>
      </c>
    </row>
    <row r="476" spans="1:5" x14ac:dyDescent="0.25">
      <c r="A476" s="6" t="s">
        <v>473</v>
      </c>
      <c r="B476" s="5">
        <f t="shared" si="22"/>
        <v>67749.309281433088</v>
      </c>
      <c r="C476" s="5">
        <f t="shared" si="23"/>
        <v>1354.9861856286618</v>
      </c>
      <c r="D476" s="5">
        <f t="shared" si="21"/>
        <v>406.49585568859851</v>
      </c>
      <c r="E476" s="5" t="s">
        <v>473</v>
      </c>
    </row>
    <row r="477" spans="1:5" x14ac:dyDescent="0.25">
      <c r="A477" s="6" t="s">
        <v>474</v>
      </c>
      <c r="B477" s="5">
        <f t="shared" si="22"/>
        <v>68155.805137121686</v>
      </c>
      <c r="C477" s="5">
        <f t="shared" si="23"/>
        <v>1363.1161027424337</v>
      </c>
      <c r="D477" s="5">
        <f t="shared" si="21"/>
        <v>408.93483082273008</v>
      </c>
      <c r="E477" s="5" t="s">
        <v>474</v>
      </c>
    </row>
    <row r="478" spans="1:5" x14ac:dyDescent="0.25">
      <c r="A478" s="6" t="s">
        <v>475</v>
      </c>
      <c r="B478" s="5">
        <f t="shared" si="22"/>
        <v>68564.739967944421</v>
      </c>
      <c r="C478" s="5">
        <f t="shared" si="23"/>
        <v>1371.2947993588884</v>
      </c>
      <c r="D478" s="5">
        <f t="shared" si="21"/>
        <v>411.38843980766654</v>
      </c>
      <c r="E478" s="5" t="s">
        <v>475</v>
      </c>
    </row>
    <row r="479" spans="1:5" x14ac:dyDescent="0.25">
      <c r="A479" s="6" t="s">
        <v>476</v>
      </c>
      <c r="B479" s="5">
        <f t="shared" si="22"/>
        <v>68976.128407752083</v>
      </c>
      <c r="C479" s="5">
        <f t="shared" si="23"/>
        <v>1379.5225681550417</v>
      </c>
      <c r="D479" s="5">
        <f t="shared" si="21"/>
        <v>413.85677044651248</v>
      </c>
      <c r="E479" s="5" t="s">
        <v>476</v>
      </c>
    </row>
    <row r="480" spans="1:5" x14ac:dyDescent="0.25">
      <c r="A480" s="6" t="s">
        <v>477</v>
      </c>
      <c r="B480" s="5">
        <f t="shared" si="22"/>
        <v>69389.985178198593</v>
      </c>
      <c r="C480" s="5">
        <f t="shared" si="23"/>
        <v>1387.7997035639719</v>
      </c>
      <c r="D480" s="5">
        <f t="shared" si="21"/>
        <v>416.33991106919154</v>
      </c>
      <c r="E480" s="5" t="s">
        <v>477</v>
      </c>
    </row>
    <row r="481" spans="1:5" x14ac:dyDescent="0.25">
      <c r="A481" s="6" t="s">
        <v>478</v>
      </c>
      <c r="B481" s="5">
        <f t="shared" si="22"/>
        <v>69806.32508926779</v>
      </c>
      <c r="C481" s="5">
        <f t="shared" si="23"/>
        <v>1396.1265017853559</v>
      </c>
      <c r="D481" s="5">
        <f t="shared" si="21"/>
        <v>418.83795053560675</v>
      </c>
      <c r="E481" s="5" t="s">
        <v>478</v>
      </c>
    </row>
    <row r="482" spans="1:5" x14ac:dyDescent="0.25">
      <c r="A482" s="6" t="s">
        <v>479</v>
      </c>
      <c r="B482" s="5">
        <f t="shared" si="22"/>
        <v>70225.163039803403</v>
      </c>
      <c r="C482" s="5">
        <f t="shared" si="23"/>
        <v>1404.5032607960682</v>
      </c>
      <c r="D482" s="5">
        <f t="shared" si="21"/>
        <v>421.35097823882046</v>
      </c>
      <c r="E482" s="5" t="s">
        <v>479</v>
      </c>
    </row>
    <row r="483" spans="1:5" x14ac:dyDescent="0.25">
      <c r="A483" s="6" t="s">
        <v>480</v>
      </c>
      <c r="B483" s="5">
        <f t="shared" si="22"/>
        <v>70646.514018042217</v>
      </c>
      <c r="C483" s="5">
        <f t="shared" si="23"/>
        <v>1412.9302803608443</v>
      </c>
      <c r="D483" s="5">
        <f t="shared" si="21"/>
        <v>423.87908410825327</v>
      </c>
      <c r="E483" s="5" t="s">
        <v>480</v>
      </c>
    </row>
    <row r="484" spans="1:5" x14ac:dyDescent="0.25">
      <c r="A484" s="6" t="s">
        <v>481</v>
      </c>
      <c r="B484" s="5">
        <f t="shared" si="22"/>
        <v>71070.393102150469</v>
      </c>
      <c r="C484" s="5">
        <f t="shared" si="23"/>
        <v>1421.4078620430093</v>
      </c>
      <c r="D484" s="5">
        <f t="shared" si="21"/>
        <v>426.42235861290277</v>
      </c>
      <c r="E484" s="5" t="s">
        <v>481</v>
      </c>
    </row>
    <row r="485" spans="1:5" x14ac:dyDescent="0.25">
      <c r="A485" s="6" t="s">
        <v>482</v>
      </c>
      <c r="B485" s="5">
        <f t="shared" si="22"/>
        <v>71496.815460763377</v>
      </c>
      <c r="C485" s="5">
        <f t="shared" si="23"/>
        <v>1429.9363092152676</v>
      </c>
      <c r="D485" s="5">
        <f t="shared" si="21"/>
        <v>428.98089276458023</v>
      </c>
      <c r="E485" s="5" t="s">
        <v>482</v>
      </c>
    </row>
    <row r="486" spans="1:5" x14ac:dyDescent="0.25">
      <c r="A486" s="6" t="s">
        <v>483</v>
      </c>
      <c r="B486" s="5">
        <f t="shared" si="22"/>
        <v>71925.796353527956</v>
      </c>
      <c r="C486" s="5">
        <f t="shared" si="23"/>
        <v>1438.5159270705592</v>
      </c>
      <c r="D486" s="5">
        <f t="shared" si="21"/>
        <v>431.55477812116777</v>
      </c>
      <c r="E486" s="5" t="s">
        <v>483</v>
      </c>
    </row>
    <row r="487" spans="1:5" x14ac:dyDescent="0.25">
      <c r="A487" s="6" t="s">
        <v>484</v>
      </c>
      <c r="B487" s="5">
        <f t="shared" si="22"/>
        <v>72357.35113164912</v>
      </c>
      <c r="C487" s="5">
        <f t="shared" si="23"/>
        <v>1447.1470226329825</v>
      </c>
      <c r="D487" s="5">
        <f t="shared" si="21"/>
        <v>434.14410678989475</v>
      </c>
      <c r="E487" s="5" t="s">
        <v>484</v>
      </c>
    </row>
    <row r="488" spans="1:5" x14ac:dyDescent="0.25">
      <c r="A488" s="6" t="s">
        <v>485</v>
      </c>
      <c r="B488" s="5">
        <f t="shared" si="22"/>
        <v>72791.49523843902</v>
      </c>
      <c r="C488" s="5">
        <f t="shared" si="23"/>
        <v>1455.8299047687804</v>
      </c>
      <c r="D488" s="5">
        <f t="shared" si="21"/>
        <v>436.74897143063407</v>
      </c>
      <c r="E488" s="5" t="s">
        <v>485</v>
      </c>
    </row>
    <row r="489" spans="1:5" x14ac:dyDescent="0.25">
      <c r="A489" s="6" t="s">
        <v>486</v>
      </c>
      <c r="B489" s="5">
        <f t="shared" si="22"/>
        <v>73228.244209869648</v>
      </c>
      <c r="C489" s="5">
        <f t="shared" si="23"/>
        <v>1464.564884197393</v>
      </c>
      <c r="D489" s="5">
        <f t="shared" si="21"/>
        <v>439.36946525921786</v>
      </c>
      <c r="E489" s="5" t="s">
        <v>486</v>
      </c>
    </row>
    <row r="490" spans="1:5" x14ac:dyDescent="0.25">
      <c r="A490" s="6" t="s">
        <v>487</v>
      </c>
      <c r="B490" s="5">
        <f t="shared" si="22"/>
        <v>73667.613675128872</v>
      </c>
      <c r="C490" s="5">
        <f t="shared" si="23"/>
        <v>1473.3522735025774</v>
      </c>
      <c r="D490" s="5">
        <f t="shared" si="21"/>
        <v>442.0056820507732</v>
      </c>
      <c r="E490" s="5" t="s">
        <v>487</v>
      </c>
    </row>
    <row r="491" spans="1:5" x14ac:dyDescent="0.25">
      <c r="A491" s="6" t="s">
        <v>488</v>
      </c>
      <c r="B491" s="5">
        <f t="shared" si="22"/>
        <v>74109.619357179647</v>
      </c>
      <c r="C491" s="5">
        <f t="shared" si="23"/>
        <v>1482.1923871435929</v>
      </c>
      <c r="D491" s="5">
        <f t="shared" si="21"/>
        <v>444.65771614307783</v>
      </c>
      <c r="E491" s="5" t="s">
        <v>488</v>
      </c>
    </row>
    <row r="492" spans="1:5" x14ac:dyDescent="0.25">
      <c r="A492" s="6" t="s">
        <v>489</v>
      </c>
      <c r="B492" s="5">
        <f t="shared" si="22"/>
        <v>74554.277073322723</v>
      </c>
      <c r="C492" s="5">
        <f t="shared" si="23"/>
        <v>1491.0855414664545</v>
      </c>
      <c r="D492" s="5">
        <f t="shared" si="21"/>
        <v>447.32566243993637</v>
      </c>
      <c r="E492" s="5" t="s">
        <v>489</v>
      </c>
    </row>
    <row r="493" spans="1:5" x14ac:dyDescent="0.25">
      <c r="A493" s="6" t="s">
        <v>490</v>
      </c>
      <c r="B493" s="5">
        <f t="shared" si="22"/>
        <v>75001.602735762659</v>
      </c>
      <c r="C493" s="5">
        <f t="shared" si="23"/>
        <v>1500.0320547152533</v>
      </c>
      <c r="D493" s="5">
        <f t="shared" si="21"/>
        <v>450.00961641457599</v>
      </c>
      <c r="E493" s="5" t="s">
        <v>490</v>
      </c>
    </row>
    <row r="494" spans="1:5" x14ac:dyDescent="0.25">
      <c r="A494" s="6" t="s">
        <v>491</v>
      </c>
      <c r="B494" s="5">
        <f t="shared" si="22"/>
        <v>75451.612352177239</v>
      </c>
      <c r="C494" s="5">
        <f t="shared" si="23"/>
        <v>1509.0322470435449</v>
      </c>
      <c r="D494" s="5">
        <f t="shared" si="21"/>
        <v>452.70967411306344</v>
      </c>
      <c r="E494" s="5" t="s">
        <v>491</v>
      </c>
    </row>
    <row r="495" spans="1:5" x14ac:dyDescent="0.25">
      <c r="A495" s="6" t="s">
        <v>492</v>
      </c>
      <c r="B495" s="5">
        <f t="shared" si="22"/>
        <v>75904.322026290305</v>
      </c>
      <c r="C495" s="5">
        <f t="shared" si="23"/>
        <v>1518.0864405258062</v>
      </c>
      <c r="D495" s="5">
        <f t="shared" si="21"/>
        <v>455.42593215774184</v>
      </c>
      <c r="E495" s="5" t="s">
        <v>492</v>
      </c>
    </row>
    <row r="496" spans="1:5" x14ac:dyDescent="0.25">
      <c r="A496" s="6" t="s">
        <v>493</v>
      </c>
      <c r="B496" s="5">
        <f t="shared" si="22"/>
        <v>76359.747958448046</v>
      </c>
      <c r="C496" s="5">
        <f t="shared" si="23"/>
        <v>1527.1949591689608</v>
      </c>
      <c r="D496" s="5">
        <f t="shared" si="21"/>
        <v>458.15848775068827</v>
      </c>
      <c r="E496" s="5" t="s">
        <v>493</v>
      </c>
    </row>
    <row r="497" spans="1:5" x14ac:dyDescent="0.25">
      <c r="A497" s="6" t="s">
        <v>494</v>
      </c>
      <c r="B497" s="5">
        <f t="shared" si="22"/>
        <v>76817.906446198729</v>
      </c>
      <c r="C497" s="5">
        <f t="shared" si="23"/>
        <v>1536.3581289239746</v>
      </c>
      <c r="D497" s="5">
        <f t="shared" si="21"/>
        <v>460.90743867719237</v>
      </c>
      <c r="E497" s="5" t="s">
        <v>494</v>
      </c>
    </row>
    <row r="498" spans="1:5" x14ac:dyDescent="0.25">
      <c r="A498" s="6" t="s">
        <v>495</v>
      </c>
      <c r="B498" s="5">
        <f t="shared" si="22"/>
        <v>77278.813884875926</v>
      </c>
      <c r="C498" s="5">
        <f t="shared" si="23"/>
        <v>1545.5762776975187</v>
      </c>
      <c r="D498" s="5">
        <f t="shared" si="21"/>
        <v>463.67288330925555</v>
      </c>
      <c r="E498" s="5" t="s">
        <v>495</v>
      </c>
    </row>
    <row r="499" spans="1:5" x14ac:dyDescent="0.25">
      <c r="A499" s="6" t="s">
        <v>496</v>
      </c>
      <c r="B499" s="5">
        <f t="shared" si="22"/>
        <v>77742.486768185176</v>
      </c>
      <c r="C499" s="5">
        <f t="shared" si="23"/>
        <v>1554.8497353637035</v>
      </c>
      <c r="D499" s="5">
        <f t="shared" si="21"/>
        <v>466.45492060911101</v>
      </c>
      <c r="E499" s="5" t="s">
        <v>496</v>
      </c>
    </row>
    <row r="500" spans="1:5" x14ac:dyDescent="0.25">
      <c r="A500" s="6" t="s">
        <v>497</v>
      </c>
      <c r="B500" s="5">
        <f t="shared" si="22"/>
        <v>78208.941688794293</v>
      </c>
      <c r="C500" s="5">
        <f t="shared" si="23"/>
        <v>1564.178833775886</v>
      </c>
      <c r="D500" s="5">
        <f t="shared" si="21"/>
        <v>469.25365013276576</v>
      </c>
      <c r="E500" s="5" t="s">
        <v>497</v>
      </c>
    </row>
    <row r="501" spans="1:5" x14ac:dyDescent="0.25">
      <c r="A501" s="6" t="s">
        <v>498</v>
      </c>
      <c r="B501" s="5">
        <f t="shared" si="22"/>
        <v>78678.195338927064</v>
      </c>
      <c r="C501" s="5">
        <f t="shared" si="23"/>
        <v>1573.5639067785414</v>
      </c>
      <c r="D501" s="5">
        <f t="shared" si="21"/>
        <v>472.06917203356238</v>
      </c>
      <c r="E501" s="5" t="s">
        <v>498</v>
      </c>
    </row>
    <row r="502" spans="1:5" x14ac:dyDescent="0.25">
      <c r="A502" s="6" t="s">
        <v>499</v>
      </c>
      <c r="B502" s="5">
        <f t="shared" si="22"/>
        <v>79150.264510960624</v>
      </c>
      <c r="C502" s="5">
        <f t="shared" si="23"/>
        <v>1583.0052902192126</v>
      </c>
      <c r="D502" s="5">
        <f t="shared" si="21"/>
        <v>474.90158706576375</v>
      </c>
      <c r="E502" s="5" t="s">
        <v>499</v>
      </c>
    </row>
    <row r="503" spans="1:5" x14ac:dyDescent="0.25">
      <c r="A503" s="6" t="s">
        <v>500</v>
      </c>
      <c r="B503" s="5">
        <f t="shared" si="22"/>
        <v>79625.166098026384</v>
      </c>
      <c r="C503" s="5">
        <f t="shared" si="23"/>
        <v>1592.5033219605277</v>
      </c>
      <c r="D503" s="5">
        <f t="shared" si="21"/>
        <v>477.75099658815827</v>
      </c>
      <c r="E503" s="5" t="s">
        <v>500</v>
      </c>
    </row>
    <row r="504" spans="1:5" x14ac:dyDescent="0.25">
      <c r="A504" s="6" t="s">
        <v>501</v>
      </c>
      <c r="B504" s="5">
        <f t="shared" si="22"/>
        <v>80102.917094614546</v>
      </c>
      <c r="C504" s="5">
        <f t="shared" si="23"/>
        <v>1602.0583418922909</v>
      </c>
      <c r="D504" s="5">
        <f t="shared" si="21"/>
        <v>480.61750256768721</v>
      </c>
      <c r="E504" s="5" t="s">
        <v>501</v>
      </c>
    </row>
    <row r="505" spans="1:5" x14ac:dyDescent="0.25">
      <c r="A505" s="6" t="s">
        <v>502</v>
      </c>
      <c r="B505" s="5">
        <f t="shared" si="22"/>
        <v>80583.534597182239</v>
      </c>
      <c r="C505" s="5">
        <f t="shared" si="23"/>
        <v>1611.6706919436449</v>
      </c>
      <c r="D505" s="5">
        <f t="shared" si="21"/>
        <v>483.50120758309345</v>
      </c>
      <c r="E505" s="5" t="s">
        <v>502</v>
      </c>
    </row>
    <row r="506" spans="1:5" x14ac:dyDescent="0.25">
      <c r="A506" s="6" t="s">
        <v>503</v>
      </c>
      <c r="B506" s="5">
        <f t="shared" si="22"/>
        <v>81067.035804765328</v>
      </c>
      <c r="C506" s="5">
        <f t="shared" si="23"/>
        <v>1621.3407160953066</v>
      </c>
      <c r="D506" s="5">
        <f t="shared" si="21"/>
        <v>486.40221482859192</v>
      </c>
      <c r="E506" s="5" t="s">
        <v>503</v>
      </c>
    </row>
    <row r="507" spans="1:5" x14ac:dyDescent="0.25">
      <c r="A507" s="6" t="s">
        <v>504</v>
      </c>
      <c r="B507" s="5">
        <f t="shared" si="22"/>
        <v>81553.438019593916</v>
      </c>
      <c r="C507" s="5">
        <f t="shared" si="23"/>
        <v>1631.0687603918784</v>
      </c>
      <c r="D507" s="5">
        <f t="shared" si="21"/>
        <v>489.3206281175635</v>
      </c>
      <c r="E507" s="5" t="s">
        <v>504</v>
      </c>
    </row>
    <row r="508" spans="1:5" x14ac:dyDescent="0.25">
      <c r="A508" s="6" t="s">
        <v>505</v>
      </c>
      <c r="B508" s="5">
        <f t="shared" si="22"/>
        <v>82042.758647711482</v>
      </c>
      <c r="C508" s="5">
        <f t="shared" si="23"/>
        <v>1640.8551729542296</v>
      </c>
      <c r="D508" s="5">
        <f t="shared" si="21"/>
        <v>492.25655188626888</v>
      </c>
      <c r="E508" s="5" t="s">
        <v>505</v>
      </c>
    </row>
    <row r="509" spans="1:5" x14ac:dyDescent="0.25">
      <c r="A509" s="6" t="s">
        <v>506</v>
      </c>
      <c r="B509" s="5">
        <f t="shared" si="22"/>
        <v>82535.01519959775</v>
      </c>
      <c r="C509" s="5">
        <f t="shared" si="23"/>
        <v>1650.700303991955</v>
      </c>
      <c r="D509" s="5">
        <f t="shared" si="21"/>
        <v>495.21009119758651</v>
      </c>
      <c r="E509" s="5" t="s">
        <v>506</v>
      </c>
    </row>
    <row r="510" spans="1:5" x14ac:dyDescent="0.25">
      <c r="A510" s="6" t="s">
        <v>507</v>
      </c>
      <c r="B510" s="5">
        <f t="shared" si="22"/>
        <v>83030.225290795337</v>
      </c>
      <c r="C510" s="5">
        <f t="shared" si="23"/>
        <v>1660.6045058159068</v>
      </c>
      <c r="D510" s="5">
        <f t="shared" si="21"/>
        <v>498.18135174477203</v>
      </c>
      <c r="E510" s="5" t="s">
        <v>507</v>
      </c>
    </row>
    <row r="511" spans="1:5" x14ac:dyDescent="0.25">
      <c r="A511" s="6" t="s">
        <v>508</v>
      </c>
      <c r="B511" s="5">
        <f t="shared" si="22"/>
        <v>83528.406642540111</v>
      </c>
      <c r="C511" s="5">
        <f t="shared" si="23"/>
        <v>1670.5681328508022</v>
      </c>
      <c r="D511" s="5">
        <f t="shared" si="21"/>
        <v>501.1704398552406</v>
      </c>
      <c r="E511" s="5" t="s">
        <v>508</v>
      </c>
    </row>
    <row r="512" spans="1:5" x14ac:dyDescent="0.25">
      <c r="A512" s="6" t="s">
        <v>509</v>
      </c>
      <c r="B512" s="5">
        <f t="shared" si="22"/>
        <v>84029.57708239535</v>
      </c>
      <c r="C512" s="5">
        <f t="shared" si="23"/>
        <v>1680.591541647907</v>
      </c>
      <c r="D512" s="5">
        <f t="shared" si="21"/>
        <v>504.17746249437209</v>
      </c>
      <c r="E512" s="5" t="s">
        <v>509</v>
      </c>
    </row>
    <row r="513" spans="1:5" x14ac:dyDescent="0.25">
      <c r="A513" s="6" t="s">
        <v>510</v>
      </c>
      <c r="B513" s="5">
        <f t="shared" si="22"/>
        <v>84533.754544889729</v>
      </c>
      <c r="C513" s="5">
        <f t="shared" si="23"/>
        <v>1690.6750908977947</v>
      </c>
      <c r="D513" s="5">
        <f t="shared" si="21"/>
        <v>507.20252726933836</v>
      </c>
      <c r="E513" s="5" t="s">
        <v>510</v>
      </c>
    </row>
    <row r="514" spans="1:5" x14ac:dyDescent="0.25">
      <c r="A514" s="6" t="s">
        <v>511</v>
      </c>
      <c r="B514" s="5">
        <f t="shared" si="22"/>
        <v>85040.957072159072</v>
      </c>
      <c r="C514" s="5">
        <f t="shared" si="23"/>
        <v>1700.8191414431815</v>
      </c>
      <c r="D514" s="5">
        <f t="shared" si="21"/>
        <v>510.24574243295444</v>
      </c>
      <c r="E514" s="5" t="s">
        <v>511</v>
      </c>
    </row>
    <row r="515" spans="1:5" x14ac:dyDescent="0.25">
      <c r="A515" s="6" t="s">
        <v>512</v>
      </c>
      <c r="B515" s="5">
        <f t="shared" si="22"/>
        <v>85551.202814592019</v>
      </c>
      <c r="C515" s="5">
        <f t="shared" si="23"/>
        <v>1711.0240562918405</v>
      </c>
      <c r="D515" s="5">
        <f t="shared" si="21"/>
        <v>513.30721688755216</v>
      </c>
      <c r="E515" s="5" t="s">
        <v>512</v>
      </c>
    </row>
    <row r="516" spans="1:5" x14ac:dyDescent="0.25">
      <c r="A516" s="6" t="s">
        <v>513</v>
      </c>
      <c r="B516" s="5">
        <f t="shared" si="22"/>
        <v>86064.510031479571</v>
      </c>
      <c r="C516" s="5">
        <f t="shared" si="23"/>
        <v>1721.2902006295915</v>
      </c>
      <c r="D516" s="5">
        <f t="shared" si="21"/>
        <v>516.3870601888774</v>
      </c>
      <c r="E516" s="5" t="s">
        <v>513</v>
      </c>
    </row>
    <row r="517" spans="1:5" x14ac:dyDescent="0.25">
      <c r="A517" s="6" t="s">
        <v>514</v>
      </c>
      <c r="B517" s="5">
        <f t="shared" si="22"/>
        <v>86580.897091668448</v>
      </c>
      <c r="C517" s="5">
        <f t="shared" si="23"/>
        <v>1731.6179418333691</v>
      </c>
      <c r="D517" s="5">
        <f t="shared" si="21"/>
        <v>519.48538255001074</v>
      </c>
      <c r="E517" s="5" t="s">
        <v>514</v>
      </c>
    </row>
    <row r="518" spans="1:5" x14ac:dyDescent="0.25">
      <c r="A518" s="6" t="s">
        <v>515</v>
      </c>
      <c r="B518" s="5">
        <f t="shared" si="22"/>
        <v>87100.382474218466</v>
      </c>
      <c r="C518" s="5">
        <f t="shared" si="23"/>
        <v>1742.0076494843693</v>
      </c>
      <c r="D518" s="5">
        <f t="shared" ref="D518:D581" si="24">C518*$B$2*$E$2</f>
        <v>522.60229484531078</v>
      </c>
      <c r="E518" s="5" t="s">
        <v>515</v>
      </c>
    </row>
    <row r="519" spans="1:5" x14ac:dyDescent="0.25">
      <c r="A519" s="6" t="s">
        <v>516</v>
      </c>
      <c r="B519" s="5">
        <f t="shared" si="22"/>
        <v>87622.984769063783</v>
      </c>
      <c r="C519" s="5">
        <f t="shared" si="23"/>
        <v>1752.4596953812757</v>
      </c>
      <c r="D519" s="5">
        <f t="shared" si="24"/>
        <v>525.73790861438272</v>
      </c>
      <c r="E519" s="5" t="s">
        <v>516</v>
      </c>
    </row>
    <row r="520" spans="1:5" x14ac:dyDescent="0.25">
      <c r="A520" s="6" t="s">
        <v>517</v>
      </c>
      <c r="B520" s="5">
        <f t="shared" si="22"/>
        <v>88148.722677678161</v>
      </c>
      <c r="C520" s="5">
        <f t="shared" si="23"/>
        <v>1762.9744535535633</v>
      </c>
      <c r="D520" s="5">
        <f t="shared" si="24"/>
        <v>528.89233606606899</v>
      </c>
      <c r="E520" s="5" t="s">
        <v>517</v>
      </c>
    </row>
    <row r="521" spans="1:5" x14ac:dyDescent="0.25">
      <c r="A521" s="6" t="s">
        <v>518</v>
      </c>
      <c r="B521" s="5">
        <f t="shared" ref="B521:B584" si="25">B520+D520</f>
        <v>88677.615013744231</v>
      </c>
      <c r="C521" s="5">
        <f t="shared" ref="C521:C584" si="26">B521*$C$2</f>
        <v>1773.5523002748846</v>
      </c>
      <c r="D521" s="5">
        <f t="shared" si="24"/>
        <v>532.06569008246538</v>
      </c>
      <c r="E521" s="5" t="s">
        <v>518</v>
      </c>
    </row>
    <row r="522" spans="1:5" x14ac:dyDescent="0.25">
      <c r="A522" s="6" t="s">
        <v>519</v>
      </c>
      <c r="B522" s="5">
        <f t="shared" si="25"/>
        <v>89209.6807038267</v>
      </c>
      <c r="C522" s="5">
        <f t="shared" si="26"/>
        <v>1784.193614076534</v>
      </c>
      <c r="D522" s="5">
        <f t="shared" si="24"/>
        <v>535.25808422296018</v>
      </c>
      <c r="E522" s="5" t="s">
        <v>519</v>
      </c>
    </row>
    <row r="523" spans="1:5" x14ac:dyDescent="0.25">
      <c r="A523" s="6" t="s">
        <v>520</v>
      </c>
      <c r="B523" s="5">
        <f t="shared" si="25"/>
        <v>89744.938788049665</v>
      </c>
      <c r="C523" s="5">
        <f t="shared" si="26"/>
        <v>1794.8987757609934</v>
      </c>
      <c r="D523" s="5">
        <f t="shared" si="24"/>
        <v>538.46963272829805</v>
      </c>
      <c r="E523" s="5" t="s">
        <v>520</v>
      </c>
    </row>
    <row r="524" spans="1:5" x14ac:dyDescent="0.25">
      <c r="A524" s="6" t="s">
        <v>521</v>
      </c>
      <c r="B524" s="5">
        <f t="shared" si="25"/>
        <v>90283.408420777967</v>
      </c>
      <c r="C524" s="5">
        <f t="shared" si="26"/>
        <v>1805.6681684155594</v>
      </c>
      <c r="D524" s="5">
        <f t="shared" si="24"/>
        <v>541.70045052466776</v>
      </c>
      <c r="E524" s="5" t="s">
        <v>521</v>
      </c>
    </row>
    <row r="525" spans="1:5" x14ac:dyDescent="0.25">
      <c r="A525" s="6" t="s">
        <v>522</v>
      </c>
      <c r="B525" s="5">
        <f t="shared" si="25"/>
        <v>90825.10887130264</v>
      </c>
      <c r="C525" s="5">
        <f t="shared" si="26"/>
        <v>1816.5021774260529</v>
      </c>
      <c r="D525" s="5">
        <f t="shared" si="24"/>
        <v>544.95065322781579</v>
      </c>
      <c r="E525" s="5" t="s">
        <v>522</v>
      </c>
    </row>
    <row r="526" spans="1:5" x14ac:dyDescent="0.25">
      <c r="A526" s="6" t="s">
        <v>523</v>
      </c>
      <c r="B526" s="5">
        <f t="shared" si="25"/>
        <v>91370.059524530458</v>
      </c>
      <c r="C526" s="5">
        <f t="shared" si="26"/>
        <v>1827.4011904906092</v>
      </c>
      <c r="D526" s="5">
        <f t="shared" si="24"/>
        <v>548.22035714718277</v>
      </c>
      <c r="E526" s="5" t="s">
        <v>523</v>
      </c>
    </row>
    <row r="527" spans="1:5" x14ac:dyDescent="0.25">
      <c r="A527" s="6" t="s">
        <v>524</v>
      </c>
      <c r="B527" s="5">
        <f t="shared" si="25"/>
        <v>91918.279881677634</v>
      </c>
      <c r="C527" s="5">
        <f t="shared" si="26"/>
        <v>1838.3655976335526</v>
      </c>
      <c r="D527" s="5">
        <f t="shared" si="24"/>
        <v>551.50967929006572</v>
      </c>
      <c r="E527" s="5" t="s">
        <v>524</v>
      </c>
    </row>
    <row r="528" spans="1:5" x14ac:dyDescent="0.25">
      <c r="A528" s="6" t="s">
        <v>525</v>
      </c>
      <c r="B528" s="5">
        <f t="shared" si="25"/>
        <v>92469.789560967693</v>
      </c>
      <c r="C528" s="5">
        <f t="shared" si="26"/>
        <v>1849.3957912193539</v>
      </c>
      <c r="D528" s="5">
        <f t="shared" si="24"/>
        <v>554.8187373658061</v>
      </c>
      <c r="E528" s="5" t="s">
        <v>525</v>
      </c>
    </row>
    <row r="529" spans="1:5" x14ac:dyDescent="0.25">
      <c r="A529" s="6" t="s">
        <v>526</v>
      </c>
      <c r="B529" s="5">
        <f t="shared" si="25"/>
        <v>93024.608298333493</v>
      </c>
      <c r="C529" s="5">
        <f t="shared" si="26"/>
        <v>1860.49216596667</v>
      </c>
      <c r="D529" s="5">
        <f t="shared" si="24"/>
        <v>558.14764979000097</v>
      </c>
      <c r="E529" s="5" t="s">
        <v>526</v>
      </c>
    </row>
    <row r="530" spans="1:5" x14ac:dyDescent="0.25">
      <c r="A530" s="6" t="s">
        <v>527</v>
      </c>
      <c r="B530" s="5">
        <f t="shared" si="25"/>
        <v>93582.755948123493</v>
      </c>
      <c r="C530" s="5">
        <f t="shared" si="26"/>
        <v>1871.6551189624699</v>
      </c>
      <c r="D530" s="5">
        <f t="shared" si="24"/>
        <v>561.49653568874101</v>
      </c>
      <c r="E530" s="5" t="s">
        <v>527</v>
      </c>
    </row>
    <row r="531" spans="1:5" x14ac:dyDescent="0.25">
      <c r="A531" s="6" t="s">
        <v>528</v>
      </c>
      <c r="B531" s="5">
        <f t="shared" si="25"/>
        <v>94144.252483812234</v>
      </c>
      <c r="C531" s="5">
        <f t="shared" si="26"/>
        <v>1882.8850496762448</v>
      </c>
      <c r="D531" s="5">
        <f t="shared" si="24"/>
        <v>564.86551490287343</v>
      </c>
      <c r="E531" s="5" t="s">
        <v>528</v>
      </c>
    </row>
    <row r="532" spans="1:5" x14ac:dyDescent="0.25">
      <c r="A532" s="6" t="s">
        <v>529</v>
      </c>
      <c r="B532" s="5">
        <f t="shared" si="25"/>
        <v>94709.117998715112</v>
      </c>
      <c r="C532" s="5">
        <f t="shared" si="26"/>
        <v>1894.1823599743022</v>
      </c>
      <c r="D532" s="5">
        <f t="shared" si="24"/>
        <v>568.25470799229061</v>
      </c>
      <c r="E532" s="5" t="s">
        <v>529</v>
      </c>
    </row>
    <row r="533" spans="1:5" x14ac:dyDescent="0.25">
      <c r="A533" s="6" t="s">
        <v>530</v>
      </c>
      <c r="B533" s="5">
        <f t="shared" si="25"/>
        <v>95277.372706707407</v>
      </c>
      <c r="C533" s="5">
        <f t="shared" si="26"/>
        <v>1905.5474541341482</v>
      </c>
      <c r="D533" s="5">
        <f t="shared" si="24"/>
        <v>571.66423624024446</v>
      </c>
      <c r="E533" s="5" t="s">
        <v>530</v>
      </c>
    </row>
    <row r="534" spans="1:5" x14ac:dyDescent="0.25">
      <c r="A534" s="6" t="s">
        <v>531</v>
      </c>
      <c r="B534" s="5">
        <f t="shared" si="25"/>
        <v>95849.036942947656</v>
      </c>
      <c r="C534" s="5">
        <f t="shared" si="26"/>
        <v>1916.9807388589531</v>
      </c>
      <c r="D534" s="5">
        <f t="shared" si="24"/>
        <v>575.09422165768592</v>
      </c>
      <c r="E534" s="5" t="s">
        <v>531</v>
      </c>
    </row>
    <row r="535" spans="1:5" x14ac:dyDescent="0.25">
      <c r="A535" s="6" t="s">
        <v>532</v>
      </c>
      <c r="B535" s="5">
        <f t="shared" si="25"/>
        <v>96424.131164605336</v>
      </c>
      <c r="C535" s="5">
        <f t="shared" si="26"/>
        <v>1928.4826232921068</v>
      </c>
      <c r="D535" s="5">
        <f t="shared" si="24"/>
        <v>578.54478698763205</v>
      </c>
      <c r="E535" s="5" t="s">
        <v>532</v>
      </c>
    </row>
    <row r="536" spans="1:5" x14ac:dyDescent="0.25">
      <c r="A536" s="6" t="s">
        <v>533</v>
      </c>
      <c r="B536" s="5">
        <f t="shared" si="25"/>
        <v>97002.675951592973</v>
      </c>
      <c r="C536" s="5">
        <f t="shared" si="26"/>
        <v>1940.0535190318594</v>
      </c>
      <c r="D536" s="5">
        <f t="shared" si="24"/>
        <v>582.0160557095578</v>
      </c>
      <c r="E536" s="5" t="s">
        <v>533</v>
      </c>
    </row>
    <row r="537" spans="1:5" x14ac:dyDescent="0.25">
      <c r="A537" s="6" t="s">
        <v>534</v>
      </c>
      <c r="B537" s="5">
        <f t="shared" si="25"/>
        <v>97584.692007302525</v>
      </c>
      <c r="C537" s="5">
        <f t="shared" si="26"/>
        <v>1951.6938401460504</v>
      </c>
      <c r="D537" s="5">
        <f t="shared" si="24"/>
        <v>585.50815204381513</v>
      </c>
      <c r="E537" s="5" t="s">
        <v>534</v>
      </c>
    </row>
    <row r="538" spans="1:5" x14ac:dyDescent="0.25">
      <c r="A538" s="6" t="s">
        <v>535</v>
      </c>
      <c r="B538" s="5">
        <f t="shared" si="25"/>
        <v>98170.200159346336</v>
      </c>
      <c r="C538" s="5">
        <f t="shared" si="26"/>
        <v>1963.4040031869267</v>
      </c>
      <c r="D538" s="5">
        <f t="shared" si="24"/>
        <v>589.02120095607802</v>
      </c>
      <c r="E538" s="5" t="s">
        <v>535</v>
      </c>
    </row>
    <row r="539" spans="1:5" x14ac:dyDescent="0.25">
      <c r="A539" s="6" t="s">
        <v>536</v>
      </c>
      <c r="B539" s="5">
        <f t="shared" si="25"/>
        <v>98759.221360302414</v>
      </c>
      <c r="C539" s="5">
        <f t="shared" si="26"/>
        <v>1975.1844272060482</v>
      </c>
      <c r="D539" s="5">
        <f t="shared" si="24"/>
        <v>592.55532816181449</v>
      </c>
      <c r="E539" s="5" t="s">
        <v>536</v>
      </c>
    </row>
    <row r="540" spans="1:5" x14ac:dyDescent="0.25">
      <c r="A540" s="6" t="s">
        <v>537</v>
      </c>
      <c r="B540" s="5">
        <f t="shared" si="25"/>
        <v>99351.776688464233</v>
      </c>
      <c r="C540" s="5">
        <f t="shared" si="26"/>
        <v>1987.0355337692847</v>
      </c>
      <c r="D540" s="5">
        <f t="shared" si="24"/>
        <v>596.11066013078539</v>
      </c>
      <c r="E540" s="5" t="s">
        <v>537</v>
      </c>
    </row>
    <row r="541" spans="1:5" x14ac:dyDescent="0.25">
      <c r="A541" s="6" t="s">
        <v>538</v>
      </c>
      <c r="B541" s="5">
        <f t="shared" si="25"/>
        <v>99947.887348595017</v>
      </c>
      <c r="C541" s="5">
        <f t="shared" si="26"/>
        <v>1998.9577469719004</v>
      </c>
      <c r="D541" s="5">
        <f t="shared" si="24"/>
        <v>599.68732409157008</v>
      </c>
      <c r="E541" s="5" t="s">
        <v>538</v>
      </c>
    </row>
    <row r="542" spans="1:5" x14ac:dyDescent="0.25">
      <c r="A542" s="6" t="s">
        <v>539</v>
      </c>
      <c r="B542" s="5">
        <f t="shared" si="25"/>
        <v>100547.57467268659</v>
      </c>
      <c r="C542" s="5">
        <f t="shared" si="26"/>
        <v>2010.9514934537319</v>
      </c>
      <c r="D542" s="5">
        <f t="shared" si="24"/>
        <v>603.28544803611953</v>
      </c>
      <c r="E542" s="5" t="s">
        <v>539</v>
      </c>
    </row>
    <row r="543" spans="1:5" x14ac:dyDescent="0.25">
      <c r="A543" s="6" t="s">
        <v>540</v>
      </c>
      <c r="B543" s="5">
        <f t="shared" si="25"/>
        <v>101150.8601207227</v>
      </c>
      <c r="C543" s="5">
        <f t="shared" si="26"/>
        <v>2023.0172024144542</v>
      </c>
      <c r="D543" s="5">
        <f t="shared" si="24"/>
        <v>606.90516072433627</v>
      </c>
      <c r="E543" s="5" t="s">
        <v>540</v>
      </c>
    </row>
    <row r="544" spans="1:5" x14ac:dyDescent="0.25">
      <c r="A544" s="6" t="s">
        <v>541</v>
      </c>
      <c r="B544" s="5">
        <f t="shared" si="25"/>
        <v>101757.76528144703</v>
      </c>
      <c r="C544" s="5">
        <f t="shared" si="26"/>
        <v>2035.1553056289408</v>
      </c>
      <c r="D544" s="5">
        <f t="shared" si="24"/>
        <v>610.54659168868227</v>
      </c>
      <c r="E544" s="5" t="s">
        <v>541</v>
      </c>
    </row>
    <row r="545" spans="1:5" x14ac:dyDescent="0.25">
      <c r="A545" s="6" t="s">
        <v>542</v>
      </c>
      <c r="B545" s="5">
        <f t="shared" si="25"/>
        <v>102368.31187313571</v>
      </c>
      <c r="C545" s="5">
        <f t="shared" si="26"/>
        <v>2047.3662374627143</v>
      </c>
      <c r="D545" s="5">
        <f t="shared" si="24"/>
        <v>614.20987123881423</v>
      </c>
      <c r="E545" s="5" t="s">
        <v>542</v>
      </c>
    </row>
    <row r="546" spans="1:5" x14ac:dyDescent="0.25">
      <c r="A546" s="6" t="s">
        <v>543</v>
      </c>
      <c r="B546" s="5">
        <f t="shared" si="25"/>
        <v>102982.52174437452</v>
      </c>
      <c r="C546" s="5">
        <f t="shared" si="26"/>
        <v>2059.6504348874905</v>
      </c>
      <c r="D546" s="5">
        <f t="shared" si="24"/>
        <v>617.89513046624711</v>
      </c>
      <c r="E546" s="5" t="s">
        <v>543</v>
      </c>
    </row>
    <row r="547" spans="1:5" x14ac:dyDescent="0.25">
      <c r="A547" s="6" t="s">
        <v>544</v>
      </c>
      <c r="B547" s="5">
        <f t="shared" si="25"/>
        <v>103600.41687484077</v>
      </c>
      <c r="C547" s="5">
        <f t="shared" si="26"/>
        <v>2072.0083374968153</v>
      </c>
      <c r="D547" s="5">
        <f t="shared" si="24"/>
        <v>621.60250124904462</v>
      </c>
      <c r="E547" s="5" t="s">
        <v>544</v>
      </c>
    </row>
    <row r="548" spans="1:5" x14ac:dyDescent="0.25">
      <c r="A548" s="6" t="s">
        <v>545</v>
      </c>
      <c r="B548" s="5">
        <f t="shared" si="25"/>
        <v>104222.01937608981</v>
      </c>
      <c r="C548" s="5">
        <f t="shared" si="26"/>
        <v>2084.4403875217963</v>
      </c>
      <c r="D548" s="5">
        <f t="shared" si="24"/>
        <v>625.33211625653882</v>
      </c>
      <c r="E548" s="5" t="s">
        <v>545</v>
      </c>
    </row>
    <row r="549" spans="1:5" x14ac:dyDescent="0.25">
      <c r="A549" s="6" t="s">
        <v>546</v>
      </c>
      <c r="B549" s="5">
        <f t="shared" si="25"/>
        <v>104847.35149234635</v>
      </c>
      <c r="C549" s="5">
        <f t="shared" si="26"/>
        <v>2096.9470298469269</v>
      </c>
      <c r="D549" s="5">
        <f t="shared" si="24"/>
        <v>629.08410895407803</v>
      </c>
      <c r="E549" s="5" t="s">
        <v>546</v>
      </c>
    </row>
    <row r="550" spans="1:5" x14ac:dyDescent="0.25">
      <c r="A550" s="6" t="s">
        <v>547</v>
      </c>
      <c r="B550" s="5">
        <f t="shared" si="25"/>
        <v>105476.43560130043</v>
      </c>
      <c r="C550" s="5">
        <f t="shared" si="26"/>
        <v>2109.5287120260086</v>
      </c>
      <c r="D550" s="5">
        <f t="shared" si="24"/>
        <v>632.85861360780257</v>
      </c>
      <c r="E550" s="5" t="s">
        <v>547</v>
      </c>
    </row>
    <row r="551" spans="1:5" x14ac:dyDescent="0.25">
      <c r="A551" s="6" t="s">
        <v>548</v>
      </c>
      <c r="B551" s="5">
        <f t="shared" si="25"/>
        <v>106109.29421490824</v>
      </c>
      <c r="C551" s="5">
        <f t="shared" si="26"/>
        <v>2122.1858842981646</v>
      </c>
      <c r="D551" s="5">
        <f t="shared" si="24"/>
        <v>636.65576528944939</v>
      </c>
      <c r="E551" s="5" t="s">
        <v>548</v>
      </c>
    </row>
    <row r="552" spans="1:5" x14ac:dyDescent="0.25">
      <c r="A552" s="6" t="s">
        <v>549</v>
      </c>
      <c r="B552" s="5">
        <f t="shared" si="25"/>
        <v>106745.94998019769</v>
      </c>
      <c r="C552" s="5">
        <f t="shared" si="26"/>
        <v>2134.918999603954</v>
      </c>
      <c r="D552" s="5">
        <f t="shared" si="24"/>
        <v>640.47569988118619</v>
      </c>
      <c r="E552" s="5" t="s">
        <v>549</v>
      </c>
    </row>
    <row r="553" spans="1:5" x14ac:dyDescent="0.25">
      <c r="A553" s="6" t="s">
        <v>550</v>
      </c>
      <c r="B553" s="5">
        <f t="shared" si="25"/>
        <v>107386.42568007887</v>
      </c>
      <c r="C553" s="5">
        <f t="shared" si="26"/>
        <v>2147.7285136015776</v>
      </c>
      <c r="D553" s="5">
        <f t="shared" si="24"/>
        <v>644.31855408047329</v>
      </c>
      <c r="E553" s="5" t="s">
        <v>550</v>
      </c>
    </row>
    <row r="554" spans="1:5" x14ac:dyDescent="0.25">
      <c r="A554" s="6" t="s">
        <v>551</v>
      </c>
      <c r="B554" s="5">
        <f t="shared" si="25"/>
        <v>108030.74423415934</v>
      </c>
      <c r="C554" s="5">
        <f t="shared" si="26"/>
        <v>2160.614884683187</v>
      </c>
      <c r="D554" s="5">
        <f t="shared" si="24"/>
        <v>648.18446540495609</v>
      </c>
      <c r="E554" s="5" t="s">
        <v>551</v>
      </c>
    </row>
    <row r="555" spans="1:5" x14ac:dyDescent="0.25">
      <c r="A555" s="6" t="s">
        <v>552</v>
      </c>
      <c r="B555" s="5">
        <f t="shared" si="25"/>
        <v>108678.92869956429</v>
      </c>
      <c r="C555" s="5">
        <f t="shared" si="26"/>
        <v>2173.5785739912858</v>
      </c>
      <c r="D555" s="5">
        <f t="shared" si="24"/>
        <v>652.07357219738572</v>
      </c>
      <c r="E555" s="5" t="s">
        <v>552</v>
      </c>
    </row>
    <row r="556" spans="1:5" x14ac:dyDescent="0.25">
      <c r="A556" s="6" t="s">
        <v>553</v>
      </c>
      <c r="B556" s="5">
        <f t="shared" si="25"/>
        <v>109331.00227176168</v>
      </c>
      <c r="C556" s="5">
        <f t="shared" si="26"/>
        <v>2186.6200454352338</v>
      </c>
      <c r="D556" s="5">
        <f t="shared" si="24"/>
        <v>655.98601363057014</v>
      </c>
      <c r="E556" s="5" t="s">
        <v>553</v>
      </c>
    </row>
    <row r="557" spans="1:5" x14ac:dyDescent="0.25">
      <c r="A557" s="6" t="s">
        <v>554</v>
      </c>
      <c r="B557" s="5">
        <f t="shared" si="25"/>
        <v>109986.98828539225</v>
      </c>
      <c r="C557" s="5">
        <f t="shared" si="26"/>
        <v>2199.739765707845</v>
      </c>
      <c r="D557" s="5">
        <f t="shared" si="24"/>
        <v>659.92192971235352</v>
      </c>
      <c r="E557" s="5" t="s">
        <v>554</v>
      </c>
    </row>
    <row r="558" spans="1:5" x14ac:dyDescent="0.25">
      <c r="A558" s="6" t="s">
        <v>555</v>
      </c>
      <c r="B558" s="5">
        <f t="shared" si="25"/>
        <v>110646.9102151046</v>
      </c>
      <c r="C558" s="5">
        <f t="shared" si="26"/>
        <v>2212.9382043020919</v>
      </c>
      <c r="D558" s="5">
        <f t="shared" si="24"/>
        <v>663.8814612906275</v>
      </c>
      <c r="E558" s="5" t="s">
        <v>555</v>
      </c>
    </row>
    <row r="559" spans="1:5" x14ac:dyDescent="0.25">
      <c r="A559" s="6" t="s">
        <v>556</v>
      </c>
      <c r="B559" s="5">
        <f t="shared" si="25"/>
        <v>111310.79167639522</v>
      </c>
      <c r="C559" s="5">
        <f t="shared" si="26"/>
        <v>2226.2158335279046</v>
      </c>
      <c r="D559" s="5">
        <f t="shared" si="24"/>
        <v>667.86475005837133</v>
      </c>
      <c r="E559" s="5" t="s">
        <v>556</v>
      </c>
    </row>
    <row r="560" spans="1:5" x14ac:dyDescent="0.25">
      <c r="A560" s="6" t="s">
        <v>557</v>
      </c>
      <c r="B560" s="5">
        <f t="shared" si="25"/>
        <v>111978.6564264536</v>
      </c>
      <c r="C560" s="5">
        <f t="shared" si="26"/>
        <v>2239.5731285290722</v>
      </c>
      <c r="D560" s="5">
        <f t="shared" si="24"/>
        <v>671.87193855872158</v>
      </c>
      <c r="E560" s="5" t="s">
        <v>557</v>
      </c>
    </row>
    <row r="561" spans="1:5" x14ac:dyDescent="0.25">
      <c r="A561" s="6" t="s">
        <v>558</v>
      </c>
      <c r="B561" s="5">
        <f t="shared" si="25"/>
        <v>112650.52836501232</v>
      </c>
      <c r="C561" s="5">
        <f t="shared" si="26"/>
        <v>2253.0105673002463</v>
      </c>
      <c r="D561" s="5">
        <f t="shared" si="24"/>
        <v>675.90317019007387</v>
      </c>
      <c r="E561" s="5" t="s">
        <v>558</v>
      </c>
    </row>
    <row r="562" spans="1:5" x14ac:dyDescent="0.25">
      <c r="A562" s="6" t="s">
        <v>559</v>
      </c>
      <c r="B562" s="5">
        <f t="shared" si="25"/>
        <v>113326.43153520238</v>
      </c>
      <c r="C562" s="5">
        <f t="shared" si="26"/>
        <v>2266.5286307040478</v>
      </c>
      <c r="D562" s="5">
        <f t="shared" si="24"/>
        <v>679.9585892112143</v>
      </c>
      <c r="E562" s="5" t="s">
        <v>559</v>
      </c>
    </row>
    <row r="563" spans="1:5" x14ac:dyDescent="0.25">
      <c r="A563" s="6" t="s">
        <v>560</v>
      </c>
      <c r="B563" s="5">
        <f t="shared" si="25"/>
        <v>114006.39012441359</v>
      </c>
      <c r="C563" s="5">
        <f t="shared" si="26"/>
        <v>2280.1278024882718</v>
      </c>
      <c r="D563" s="5">
        <f t="shared" si="24"/>
        <v>684.03834074648148</v>
      </c>
      <c r="E563" s="5" t="s">
        <v>560</v>
      </c>
    </row>
    <row r="564" spans="1:5" x14ac:dyDescent="0.25">
      <c r="A564" s="6" t="s">
        <v>561</v>
      </c>
      <c r="B564" s="5">
        <f t="shared" si="25"/>
        <v>114690.42846516008</v>
      </c>
      <c r="C564" s="5">
        <f t="shared" si="26"/>
        <v>2293.8085693032017</v>
      </c>
      <c r="D564" s="5">
        <f t="shared" si="24"/>
        <v>688.14257079096046</v>
      </c>
      <c r="E564" s="5" t="s">
        <v>561</v>
      </c>
    </row>
    <row r="565" spans="1:5" x14ac:dyDescent="0.25">
      <c r="A565" s="6" t="s">
        <v>562</v>
      </c>
      <c r="B565" s="5">
        <f t="shared" si="25"/>
        <v>115378.57103595104</v>
      </c>
      <c r="C565" s="5">
        <f t="shared" si="26"/>
        <v>2307.5714207190208</v>
      </c>
      <c r="D565" s="5">
        <f t="shared" si="24"/>
        <v>692.27142621570624</v>
      </c>
      <c r="E565" s="5" t="s">
        <v>562</v>
      </c>
    </row>
    <row r="566" spans="1:5" x14ac:dyDescent="0.25">
      <c r="A566" s="6" t="s">
        <v>563</v>
      </c>
      <c r="B566" s="5">
        <f t="shared" si="25"/>
        <v>116070.84246216675</v>
      </c>
      <c r="C566" s="5">
        <f t="shared" si="26"/>
        <v>2321.416849243335</v>
      </c>
      <c r="D566" s="5">
        <f t="shared" si="24"/>
        <v>696.42505477300051</v>
      </c>
      <c r="E566" s="5" t="s">
        <v>563</v>
      </c>
    </row>
    <row r="567" spans="1:5" x14ac:dyDescent="0.25">
      <c r="A567" s="6" t="s">
        <v>564</v>
      </c>
      <c r="B567" s="5">
        <f t="shared" si="25"/>
        <v>116767.26751693976</v>
      </c>
      <c r="C567" s="5">
        <f t="shared" si="26"/>
        <v>2335.345350338795</v>
      </c>
      <c r="D567" s="5">
        <f t="shared" si="24"/>
        <v>700.60360510163844</v>
      </c>
      <c r="E567" s="5" t="s">
        <v>564</v>
      </c>
    </row>
    <row r="568" spans="1:5" x14ac:dyDescent="0.25">
      <c r="A568" s="6" t="s">
        <v>565</v>
      </c>
      <c r="B568" s="5">
        <f t="shared" si="25"/>
        <v>117467.8711220414</v>
      </c>
      <c r="C568" s="5">
        <f t="shared" si="26"/>
        <v>2349.357422440828</v>
      </c>
      <c r="D568" s="5">
        <f t="shared" si="24"/>
        <v>704.80722673224841</v>
      </c>
      <c r="E568" s="5" t="s">
        <v>565</v>
      </c>
    </row>
    <row r="569" spans="1:5" x14ac:dyDescent="0.25">
      <c r="A569" s="6" t="s">
        <v>566</v>
      </c>
      <c r="B569" s="5">
        <f t="shared" si="25"/>
        <v>118172.67834877364</v>
      </c>
      <c r="C569" s="5">
        <f t="shared" si="26"/>
        <v>2363.4535669754728</v>
      </c>
      <c r="D569" s="5">
        <f t="shared" si="24"/>
        <v>709.03607009264181</v>
      </c>
      <c r="E569" s="5" t="s">
        <v>566</v>
      </c>
    </row>
    <row r="570" spans="1:5" x14ac:dyDescent="0.25">
      <c r="A570" s="6" t="s">
        <v>567</v>
      </c>
      <c r="B570" s="5">
        <f t="shared" si="25"/>
        <v>118881.71441886628</v>
      </c>
      <c r="C570" s="5">
        <f t="shared" si="26"/>
        <v>2377.6342883773254</v>
      </c>
      <c r="D570" s="5">
        <f t="shared" si="24"/>
        <v>713.29028651319766</v>
      </c>
      <c r="E570" s="5" t="s">
        <v>567</v>
      </c>
    </row>
    <row r="571" spans="1:5" x14ac:dyDescent="0.25">
      <c r="A571" s="6" t="s">
        <v>568</v>
      </c>
      <c r="B571" s="5">
        <f t="shared" si="25"/>
        <v>119595.00470537947</v>
      </c>
      <c r="C571" s="5">
        <f t="shared" si="26"/>
        <v>2391.9000941075897</v>
      </c>
      <c r="D571" s="5">
        <f t="shared" si="24"/>
        <v>717.57002823227685</v>
      </c>
      <c r="E571" s="5" t="s">
        <v>568</v>
      </c>
    </row>
    <row r="572" spans="1:5" x14ac:dyDescent="0.25">
      <c r="A572" s="6" t="s">
        <v>569</v>
      </c>
      <c r="B572" s="5">
        <f t="shared" si="25"/>
        <v>120312.57473361175</v>
      </c>
      <c r="C572" s="5">
        <f t="shared" si="26"/>
        <v>2406.2514946722349</v>
      </c>
      <c r="D572" s="5">
        <f t="shared" si="24"/>
        <v>721.8754484016705</v>
      </c>
      <c r="E572" s="5" t="s">
        <v>569</v>
      </c>
    </row>
    <row r="573" spans="1:5" x14ac:dyDescent="0.25">
      <c r="A573" s="6" t="s">
        <v>570</v>
      </c>
      <c r="B573" s="5">
        <f t="shared" si="25"/>
        <v>121034.45018201342</v>
      </c>
      <c r="C573" s="5">
        <f t="shared" si="26"/>
        <v>2420.6890036402683</v>
      </c>
      <c r="D573" s="5">
        <f t="shared" si="24"/>
        <v>726.20670109208049</v>
      </c>
      <c r="E573" s="5" t="s">
        <v>570</v>
      </c>
    </row>
    <row r="574" spans="1:5" x14ac:dyDescent="0.25">
      <c r="A574" s="6" t="s">
        <v>571</v>
      </c>
      <c r="B574" s="5">
        <f t="shared" si="25"/>
        <v>121760.6568831055</v>
      </c>
      <c r="C574" s="5">
        <f t="shared" si="26"/>
        <v>2435.2131376621101</v>
      </c>
      <c r="D574" s="5">
        <f t="shared" si="24"/>
        <v>730.56394129863304</v>
      </c>
      <c r="E574" s="5" t="s">
        <v>571</v>
      </c>
    </row>
    <row r="575" spans="1:5" x14ac:dyDescent="0.25">
      <c r="A575" s="6" t="s">
        <v>572</v>
      </c>
      <c r="B575" s="5">
        <f t="shared" si="25"/>
        <v>122491.22082440414</v>
      </c>
      <c r="C575" s="5">
        <f t="shared" si="26"/>
        <v>2449.824416488083</v>
      </c>
      <c r="D575" s="5">
        <f t="shared" si="24"/>
        <v>734.94732494642483</v>
      </c>
      <c r="E575" s="5" t="s">
        <v>572</v>
      </c>
    </row>
    <row r="576" spans="1:5" x14ac:dyDescent="0.25">
      <c r="A576" s="6" t="s">
        <v>573</v>
      </c>
      <c r="B576" s="5">
        <f t="shared" si="25"/>
        <v>123226.16814935056</v>
      </c>
      <c r="C576" s="5">
        <f t="shared" si="26"/>
        <v>2464.5233629870113</v>
      </c>
      <c r="D576" s="5">
        <f t="shared" si="24"/>
        <v>739.35700889610337</v>
      </c>
      <c r="E576" s="5" t="s">
        <v>573</v>
      </c>
    </row>
    <row r="577" spans="1:5" x14ac:dyDescent="0.25">
      <c r="A577" s="6" t="s">
        <v>574</v>
      </c>
      <c r="B577" s="5">
        <f t="shared" si="25"/>
        <v>123965.52515824666</v>
      </c>
      <c r="C577" s="5">
        <f t="shared" si="26"/>
        <v>2479.3105031649334</v>
      </c>
      <c r="D577" s="5">
        <f t="shared" si="24"/>
        <v>743.79315094948004</v>
      </c>
      <c r="E577" s="5" t="s">
        <v>574</v>
      </c>
    </row>
    <row r="578" spans="1:5" x14ac:dyDescent="0.25">
      <c r="A578" s="6" t="s">
        <v>575</v>
      </c>
      <c r="B578" s="5">
        <f t="shared" si="25"/>
        <v>124709.31830919614</v>
      </c>
      <c r="C578" s="5">
        <f t="shared" si="26"/>
        <v>2494.1863661839229</v>
      </c>
      <c r="D578" s="5">
        <f t="shared" si="24"/>
        <v>748.25590985517681</v>
      </c>
      <c r="E578" s="5" t="s">
        <v>575</v>
      </c>
    </row>
    <row r="579" spans="1:5" x14ac:dyDescent="0.25">
      <c r="A579" s="6" t="s">
        <v>576</v>
      </c>
      <c r="B579" s="5">
        <f t="shared" si="25"/>
        <v>125457.57421905131</v>
      </c>
      <c r="C579" s="5">
        <f t="shared" si="26"/>
        <v>2509.1514843810264</v>
      </c>
      <c r="D579" s="5">
        <f t="shared" si="24"/>
        <v>752.74544531430786</v>
      </c>
      <c r="E579" s="5" t="s">
        <v>576</v>
      </c>
    </row>
    <row r="580" spans="1:5" x14ac:dyDescent="0.25">
      <c r="A580" s="6" t="s">
        <v>577</v>
      </c>
      <c r="B580" s="5">
        <f t="shared" si="25"/>
        <v>126210.31966436563</v>
      </c>
      <c r="C580" s="5">
        <f t="shared" si="26"/>
        <v>2524.2063932873125</v>
      </c>
      <c r="D580" s="5">
        <f t="shared" si="24"/>
        <v>757.26191798619368</v>
      </c>
      <c r="E580" s="5" t="s">
        <v>577</v>
      </c>
    </row>
    <row r="581" spans="1:5" x14ac:dyDescent="0.25">
      <c r="A581" s="6" t="s">
        <v>578</v>
      </c>
      <c r="B581" s="5">
        <f t="shared" si="25"/>
        <v>126967.58158235182</v>
      </c>
      <c r="C581" s="5">
        <f t="shared" si="26"/>
        <v>2539.3516316470364</v>
      </c>
      <c r="D581" s="5">
        <f t="shared" si="24"/>
        <v>761.80548949411093</v>
      </c>
      <c r="E581" s="5" t="s">
        <v>578</v>
      </c>
    </row>
    <row r="582" spans="1:5" x14ac:dyDescent="0.25">
      <c r="A582" s="6" t="s">
        <v>579</v>
      </c>
      <c r="B582" s="5">
        <f t="shared" si="25"/>
        <v>127729.38707184594</v>
      </c>
      <c r="C582" s="5">
        <f t="shared" si="26"/>
        <v>2554.5877414369188</v>
      </c>
      <c r="D582" s="5">
        <f t="shared" ref="D582:D645" si="27">C582*$B$2*$E$2</f>
        <v>766.37632243107566</v>
      </c>
      <c r="E582" s="5" t="s">
        <v>579</v>
      </c>
    </row>
    <row r="583" spans="1:5" x14ac:dyDescent="0.25">
      <c r="A583" s="6" t="s">
        <v>580</v>
      </c>
      <c r="B583" s="5">
        <f t="shared" si="25"/>
        <v>128495.76339427702</v>
      </c>
      <c r="C583" s="5">
        <f t="shared" si="26"/>
        <v>2569.9152678855403</v>
      </c>
      <c r="D583" s="5">
        <f t="shared" si="27"/>
        <v>770.97458036566206</v>
      </c>
      <c r="E583" s="5" t="s">
        <v>580</v>
      </c>
    </row>
    <row r="584" spans="1:5" x14ac:dyDescent="0.25">
      <c r="A584" s="6" t="s">
        <v>581</v>
      </c>
      <c r="B584" s="5">
        <f t="shared" si="25"/>
        <v>129266.73797464267</v>
      </c>
      <c r="C584" s="5">
        <f t="shared" si="26"/>
        <v>2585.3347594928537</v>
      </c>
      <c r="D584" s="5">
        <f t="shared" si="27"/>
        <v>775.60042784785605</v>
      </c>
      <c r="E584" s="5" t="s">
        <v>581</v>
      </c>
    </row>
    <row r="585" spans="1:5" x14ac:dyDescent="0.25">
      <c r="A585" s="6" t="s">
        <v>582</v>
      </c>
      <c r="B585" s="5">
        <f t="shared" ref="B585:B648" si="28">B584+D584</f>
        <v>130042.33840249052</v>
      </c>
      <c r="C585" s="5">
        <f t="shared" ref="C585:C648" si="29">B585*$C$2</f>
        <v>2600.8467680498106</v>
      </c>
      <c r="D585" s="5">
        <f t="shared" si="27"/>
        <v>780.25403041494314</v>
      </c>
      <c r="E585" s="5" t="s">
        <v>582</v>
      </c>
    </row>
    <row r="586" spans="1:5" x14ac:dyDescent="0.25">
      <c r="A586" s="6" t="s">
        <v>583</v>
      </c>
      <c r="B586" s="5">
        <f t="shared" si="28"/>
        <v>130822.59243290547</v>
      </c>
      <c r="C586" s="5">
        <f t="shared" si="29"/>
        <v>2616.4518486581096</v>
      </c>
      <c r="D586" s="5">
        <f t="shared" si="27"/>
        <v>784.93555459743288</v>
      </c>
      <c r="E586" s="5" t="s">
        <v>583</v>
      </c>
    </row>
    <row r="587" spans="1:5" x14ac:dyDescent="0.25">
      <c r="A587" s="6" t="s">
        <v>584</v>
      </c>
      <c r="B587" s="5">
        <f t="shared" si="28"/>
        <v>131607.52798750289</v>
      </c>
      <c r="C587" s="5">
        <f t="shared" si="29"/>
        <v>2632.1505597500577</v>
      </c>
      <c r="D587" s="5">
        <f t="shared" si="27"/>
        <v>789.64516792501729</v>
      </c>
      <c r="E587" s="5" t="s">
        <v>584</v>
      </c>
    </row>
    <row r="588" spans="1:5" x14ac:dyDescent="0.25">
      <c r="A588" s="6" t="s">
        <v>585</v>
      </c>
      <c r="B588" s="5">
        <f t="shared" si="28"/>
        <v>132397.17315542791</v>
      </c>
      <c r="C588" s="5">
        <f t="shared" si="29"/>
        <v>2647.9434631085583</v>
      </c>
      <c r="D588" s="5">
        <f t="shared" si="27"/>
        <v>794.3830389325675</v>
      </c>
      <c r="E588" s="5" t="s">
        <v>585</v>
      </c>
    </row>
    <row r="589" spans="1:5" x14ac:dyDescent="0.25">
      <c r="A589" s="6" t="s">
        <v>586</v>
      </c>
      <c r="B589" s="5">
        <f t="shared" si="28"/>
        <v>133191.55619436048</v>
      </c>
      <c r="C589" s="5">
        <f t="shared" si="29"/>
        <v>2663.8311238872097</v>
      </c>
      <c r="D589" s="5">
        <f t="shared" si="27"/>
        <v>799.14933716616292</v>
      </c>
      <c r="E589" s="5" t="s">
        <v>586</v>
      </c>
    </row>
    <row r="590" spans="1:5" x14ac:dyDescent="0.25">
      <c r="A590" s="6" t="s">
        <v>587</v>
      </c>
      <c r="B590" s="5">
        <f t="shared" si="28"/>
        <v>133990.70553152665</v>
      </c>
      <c r="C590" s="5">
        <f t="shared" si="29"/>
        <v>2679.8141106305329</v>
      </c>
      <c r="D590" s="5">
        <f t="shared" si="27"/>
        <v>803.94423318915983</v>
      </c>
      <c r="E590" s="5" t="s">
        <v>587</v>
      </c>
    </row>
    <row r="591" spans="1:5" x14ac:dyDescent="0.25">
      <c r="A591" s="6" t="s">
        <v>588</v>
      </c>
      <c r="B591" s="5">
        <f t="shared" si="28"/>
        <v>134794.64976471581</v>
      </c>
      <c r="C591" s="5">
        <f t="shared" si="29"/>
        <v>2695.8929952943163</v>
      </c>
      <c r="D591" s="5">
        <f t="shared" si="27"/>
        <v>808.76789858829488</v>
      </c>
      <c r="E591" s="5" t="s">
        <v>588</v>
      </c>
    </row>
    <row r="592" spans="1:5" x14ac:dyDescent="0.25">
      <c r="A592" s="6" t="s">
        <v>589</v>
      </c>
      <c r="B592" s="5">
        <f t="shared" si="28"/>
        <v>135603.41766330411</v>
      </c>
      <c r="C592" s="5">
        <f t="shared" si="29"/>
        <v>2712.0683532660823</v>
      </c>
      <c r="D592" s="5">
        <f t="shared" si="27"/>
        <v>813.62050597982466</v>
      </c>
      <c r="E592" s="5" t="s">
        <v>589</v>
      </c>
    </row>
    <row r="593" spans="1:5" x14ac:dyDescent="0.25">
      <c r="A593" s="6" t="s">
        <v>590</v>
      </c>
      <c r="B593" s="5">
        <f t="shared" si="28"/>
        <v>136417.03816928394</v>
      </c>
      <c r="C593" s="5">
        <f t="shared" si="29"/>
        <v>2728.3407633856791</v>
      </c>
      <c r="D593" s="5">
        <f t="shared" si="27"/>
        <v>818.50222901570373</v>
      </c>
      <c r="E593" s="5" t="s">
        <v>590</v>
      </c>
    </row>
    <row r="594" spans="1:5" x14ac:dyDescent="0.25">
      <c r="A594" s="6" t="s">
        <v>591</v>
      </c>
      <c r="B594" s="5">
        <f t="shared" si="28"/>
        <v>137235.54039829964</v>
      </c>
      <c r="C594" s="5">
        <f t="shared" si="29"/>
        <v>2744.7108079659929</v>
      </c>
      <c r="D594" s="5">
        <f t="shared" si="27"/>
        <v>823.4132423897978</v>
      </c>
      <c r="E594" s="5" t="s">
        <v>591</v>
      </c>
    </row>
    <row r="595" spans="1:5" x14ac:dyDescent="0.25">
      <c r="A595" s="6" t="s">
        <v>592</v>
      </c>
      <c r="B595" s="5">
        <f t="shared" si="28"/>
        <v>138058.95364068943</v>
      </c>
      <c r="C595" s="5">
        <f t="shared" si="29"/>
        <v>2761.1790728137889</v>
      </c>
      <c r="D595" s="5">
        <f t="shared" si="27"/>
        <v>828.35372184413666</v>
      </c>
      <c r="E595" s="5" t="s">
        <v>592</v>
      </c>
    </row>
    <row r="596" spans="1:5" x14ac:dyDescent="0.25">
      <c r="A596" s="6" t="s">
        <v>593</v>
      </c>
      <c r="B596" s="5">
        <f t="shared" si="28"/>
        <v>138887.30736253358</v>
      </c>
      <c r="C596" s="5">
        <f t="shared" si="29"/>
        <v>2777.7461472506716</v>
      </c>
      <c r="D596" s="5">
        <f t="shared" si="27"/>
        <v>833.32384417520143</v>
      </c>
      <c r="E596" s="5" t="s">
        <v>593</v>
      </c>
    </row>
    <row r="597" spans="1:5" x14ac:dyDescent="0.25">
      <c r="A597" s="6" t="s">
        <v>594</v>
      </c>
      <c r="B597" s="5">
        <f t="shared" si="28"/>
        <v>139720.63120670879</v>
      </c>
      <c r="C597" s="5">
        <f t="shared" si="29"/>
        <v>2794.412624134176</v>
      </c>
      <c r="D597" s="5">
        <f t="shared" si="27"/>
        <v>838.32378724025273</v>
      </c>
      <c r="E597" s="5" t="s">
        <v>594</v>
      </c>
    </row>
    <row r="598" spans="1:5" x14ac:dyDescent="0.25">
      <c r="A598" s="6" t="s">
        <v>595</v>
      </c>
      <c r="B598" s="5">
        <f t="shared" si="28"/>
        <v>140558.95499394904</v>
      </c>
      <c r="C598" s="5">
        <f t="shared" si="29"/>
        <v>2811.1790998789807</v>
      </c>
      <c r="D598" s="5">
        <f t="shared" si="27"/>
        <v>843.35372996369415</v>
      </c>
      <c r="E598" s="5" t="s">
        <v>595</v>
      </c>
    </row>
    <row r="599" spans="1:5" x14ac:dyDescent="0.25">
      <c r="A599" s="6" t="s">
        <v>596</v>
      </c>
      <c r="B599" s="5">
        <f t="shared" si="28"/>
        <v>141402.30872391272</v>
      </c>
      <c r="C599" s="5">
        <f t="shared" si="29"/>
        <v>2828.0461744782547</v>
      </c>
      <c r="D599" s="5">
        <f t="shared" si="27"/>
        <v>848.41385234347638</v>
      </c>
      <c r="E599" s="5" t="s">
        <v>596</v>
      </c>
    </row>
    <row r="600" spans="1:5" x14ac:dyDescent="0.25">
      <c r="A600" s="6" t="s">
        <v>597</v>
      </c>
      <c r="B600" s="5">
        <f t="shared" si="28"/>
        <v>142250.7225762562</v>
      </c>
      <c r="C600" s="5">
        <f t="shared" si="29"/>
        <v>2845.0144515251241</v>
      </c>
      <c r="D600" s="5">
        <f t="shared" si="27"/>
        <v>853.50433545753719</v>
      </c>
      <c r="E600" s="5" t="s">
        <v>597</v>
      </c>
    </row>
    <row r="601" spans="1:5" x14ac:dyDescent="0.25">
      <c r="A601" s="6" t="s">
        <v>598</v>
      </c>
      <c r="B601" s="5">
        <f t="shared" si="28"/>
        <v>143104.22691171375</v>
      </c>
      <c r="C601" s="5">
        <f t="shared" si="29"/>
        <v>2862.084538234275</v>
      </c>
      <c r="D601" s="5">
        <f t="shared" si="27"/>
        <v>858.62536147028243</v>
      </c>
      <c r="E601" s="5" t="s">
        <v>598</v>
      </c>
    </row>
    <row r="602" spans="1:5" x14ac:dyDescent="0.25">
      <c r="A602" s="6" t="s">
        <v>599</v>
      </c>
      <c r="B602" s="5">
        <f t="shared" si="28"/>
        <v>143962.85227318402</v>
      </c>
      <c r="C602" s="5">
        <f t="shared" si="29"/>
        <v>2879.2570454636802</v>
      </c>
      <c r="D602" s="5">
        <f t="shared" si="27"/>
        <v>863.77711363910407</v>
      </c>
      <c r="E602" s="5" t="s">
        <v>599</v>
      </c>
    </row>
    <row r="603" spans="1:5" x14ac:dyDescent="0.25">
      <c r="A603" s="6" t="s">
        <v>600</v>
      </c>
      <c r="B603" s="5">
        <f t="shared" si="28"/>
        <v>144826.62938682313</v>
      </c>
      <c r="C603" s="5">
        <f t="shared" si="29"/>
        <v>2896.5325877364626</v>
      </c>
      <c r="D603" s="5">
        <f t="shared" si="27"/>
        <v>868.95977632093877</v>
      </c>
      <c r="E603" s="5" t="s">
        <v>600</v>
      </c>
    </row>
    <row r="604" spans="1:5" x14ac:dyDescent="0.25">
      <c r="A604" s="6" t="s">
        <v>601</v>
      </c>
      <c r="B604" s="5">
        <f t="shared" si="28"/>
        <v>145695.58916314406</v>
      </c>
      <c r="C604" s="5">
        <f t="shared" si="29"/>
        <v>2913.9117832628813</v>
      </c>
      <c r="D604" s="5">
        <f t="shared" si="27"/>
        <v>874.17353497886438</v>
      </c>
      <c r="E604" s="5" t="s">
        <v>601</v>
      </c>
    </row>
    <row r="605" spans="1:5" x14ac:dyDescent="0.25">
      <c r="A605" s="6" t="s">
        <v>602</v>
      </c>
      <c r="B605" s="5">
        <f t="shared" si="28"/>
        <v>146569.76269812291</v>
      </c>
      <c r="C605" s="5">
        <f t="shared" si="29"/>
        <v>2931.3952539624584</v>
      </c>
      <c r="D605" s="5">
        <f t="shared" si="27"/>
        <v>879.41857618873746</v>
      </c>
      <c r="E605" s="5" t="s">
        <v>602</v>
      </c>
    </row>
    <row r="606" spans="1:5" x14ac:dyDescent="0.25">
      <c r="A606" s="6" t="s">
        <v>603</v>
      </c>
      <c r="B606" s="5">
        <f t="shared" si="28"/>
        <v>147449.18127431165</v>
      </c>
      <c r="C606" s="5">
        <f t="shared" si="29"/>
        <v>2948.983625486233</v>
      </c>
      <c r="D606" s="5">
        <f t="shared" si="27"/>
        <v>884.69508764586988</v>
      </c>
      <c r="E606" s="5" t="s">
        <v>603</v>
      </c>
    </row>
    <row r="607" spans="1:5" x14ac:dyDescent="0.25">
      <c r="A607" s="6" t="s">
        <v>604</v>
      </c>
      <c r="B607" s="5">
        <f t="shared" si="28"/>
        <v>148333.87636195752</v>
      </c>
      <c r="C607" s="5">
        <f t="shared" si="29"/>
        <v>2966.6775272391505</v>
      </c>
      <c r="D607" s="5">
        <f t="shared" si="27"/>
        <v>890.00325817174519</v>
      </c>
      <c r="E607" s="5" t="s">
        <v>604</v>
      </c>
    </row>
    <row r="608" spans="1:5" x14ac:dyDescent="0.25">
      <c r="A608" s="6" t="s">
        <v>605</v>
      </c>
      <c r="B608" s="5">
        <f t="shared" si="28"/>
        <v>149223.87962012927</v>
      </c>
      <c r="C608" s="5">
        <f t="shared" si="29"/>
        <v>2984.4775924025853</v>
      </c>
      <c r="D608" s="5">
        <f t="shared" si="27"/>
        <v>895.34327772077552</v>
      </c>
      <c r="E608" s="5" t="s">
        <v>605</v>
      </c>
    </row>
    <row r="609" spans="1:5" x14ac:dyDescent="0.25">
      <c r="A609" s="6" t="s">
        <v>606</v>
      </c>
      <c r="B609" s="5">
        <f t="shared" si="28"/>
        <v>150119.22289785004</v>
      </c>
      <c r="C609" s="5">
        <f t="shared" si="29"/>
        <v>3002.3844579570009</v>
      </c>
      <c r="D609" s="5">
        <f t="shared" si="27"/>
        <v>900.71533738710025</v>
      </c>
      <c r="E609" s="5" t="s">
        <v>606</v>
      </c>
    </row>
    <row r="610" spans="1:5" x14ac:dyDescent="0.25">
      <c r="A610" s="6" t="s">
        <v>607</v>
      </c>
      <c r="B610" s="5">
        <f t="shared" si="28"/>
        <v>151019.93823523715</v>
      </c>
      <c r="C610" s="5">
        <f t="shared" si="29"/>
        <v>3020.3987647047429</v>
      </c>
      <c r="D610" s="5">
        <f t="shared" si="27"/>
        <v>906.11962941142281</v>
      </c>
      <c r="E610" s="5" t="s">
        <v>607</v>
      </c>
    </row>
    <row r="611" spans="1:5" x14ac:dyDescent="0.25">
      <c r="A611" s="6" t="s">
        <v>608</v>
      </c>
      <c r="B611" s="5">
        <f t="shared" si="28"/>
        <v>151926.05786464858</v>
      </c>
      <c r="C611" s="5">
        <f t="shared" si="29"/>
        <v>3038.5211572929716</v>
      </c>
      <c r="D611" s="5">
        <f t="shared" si="27"/>
        <v>911.55634718789145</v>
      </c>
      <c r="E611" s="5" t="s">
        <v>608</v>
      </c>
    </row>
    <row r="612" spans="1:5" x14ac:dyDescent="0.25">
      <c r="A612" s="6" t="s">
        <v>609</v>
      </c>
      <c r="B612" s="5">
        <f t="shared" si="28"/>
        <v>152837.61421183648</v>
      </c>
      <c r="C612" s="5">
        <f t="shared" si="29"/>
        <v>3056.7522842367298</v>
      </c>
      <c r="D612" s="5">
        <f t="shared" si="27"/>
        <v>917.02568527101892</v>
      </c>
      <c r="E612" s="5" t="s">
        <v>609</v>
      </c>
    </row>
    <row r="613" spans="1:5" x14ac:dyDescent="0.25">
      <c r="A613" s="6" t="s">
        <v>610</v>
      </c>
      <c r="B613" s="5">
        <f t="shared" si="28"/>
        <v>153754.6398971075</v>
      </c>
      <c r="C613" s="5">
        <f t="shared" si="29"/>
        <v>3075.0927979421499</v>
      </c>
      <c r="D613" s="5">
        <f t="shared" si="27"/>
        <v>922.52783938264497</v>
      </c>
      <c r="E613" s="5" t="s">
        <v>610</v>
      </c>
    </row>
    <row r="614" spans="1:5" x14ac:dyDescent="0.25">
      <c r="A614" s="6" t="s">
        <v>611</v>
      </c>
      <c r="B614" s="5">
        <f t="shared" si="28"/>
        <v>154677.16773649014</v>
      </c>
      <c r="C614" s="5">
        <f t="shared" si="29"/>
        <v>3093.543354729803</v>
      </c>
      <c r="D614" s="5">
        <f t="shared" si="27"/>
        <v>928.06300641894086</v>
      </c>
      <c r="E614" s="5" t="s">
        <v>611</v>
      </c>
    </row>
    <row r="615" spans="1:5" x14ac:dyDescent="0.25">
      <c r="A615" s="6" t="s">
        <v>612</v>
      </c>
      <c r="B615" s="5">
        <f t="shared" si="28"/>
        <v>155605.23074290907</v>
      </c>
      <c r="C615" s="5">
        <f t="shared" si="29"/>
        <v>3112.1046148581813</v>
      </c>
      <c r="D615" s="5">
        <f t="shared" si="27"/>
        <v>933.63138445745437</v>
      </c>
      <c r="E615" s="5" t="s">
        <v>612</v>
      </c>
    </row>
    <row r="616" spans="1:5" x14ac:dyDescent="0.25">
      <c r="A616" s="6" t="s">
        <v>613</v>
      </c>
      <c r="B616" s="5">
        <f t="shared" si="28"/>
        <v>156538.86212736653</v>
      </c>
      <c r="C616" s="5">
        <f t="shared" si="29"/>
        <v>3130.7772425473308</v>
      </c>
      <c r="D616" s="5">
        <f t="shared" si="27"/>
        <v>939.23317276419925</v>
      </c>
      <c r="E616" s="5" t="s">
        <v>613</v>
      </c>
    </row>
    <row r="617" spans="1:5" x14ac:dyDescent="0.25">
      <c r="A617" s="6" t="s">
        <v>614</v>
      </c>
      <c r="B617" s="5">
        <f t="shared" si="28"/>
        <v>157478.09530013072</v>
      </c>
      <c r="C617" s="5">
        <f t="shared" si="29"/>
        <v>3149.5619060026147</v>
      </c>
      <c r="D617" s="5">
        <f t="shared" si="27"/>
        <v>944.86857180078437</v>
      </c>
      <c r="E617" s="5" t="s">
        <v>614</v>
      </c>
    </row>
    <row r="618" spans="1:5" x14ac:dyDescent="0.25">
      <c r="A618" s="6" t="s">
        <v>615</v>
      </c>
      <c r="B618" s="5">
        <f t="shared" si="28"/>
        <v>158422.96387193151</v>
      </c>
      <c r="C618" s="5">
        <f t="shared" si="29"/>
        <v>3168.4592774386301</v>
      </c>
      <c r="D618" s="5">
        <f t="shared" si="27"/>
        <v>950.53778323158895</v>
      </c>
      <c r="E618" s="5" t="s">
        <v>615</v>
      </c>
    </row>
    <row r="619" spans="1:5" x14ac:dyDescent="0.25">
      <c r="A619" s="6" t="s">
        <v>616</v>
      </c>
      <c r="B619" s="5">
        <f t="shared" si="28"/>
        <v>159373.5016551631</v>
      </c>
      <c r="C619" s="5">
        <f t="shared" si="29"/>
        <v>3187.4700331032618</v>
      </c>
      <c r="D619" s="5">
        <f t="shared" si="27"/>
        <v>956.24100993097852</v>
      </c>
      <c r="E619" s="5" t="s">
        <v>616</v>
      </c>
    </row>
    <row r="620" spans="1:5" x14ac:dyDescent="0.25">
      <c r="A620" s="6" t="s">
        <v>617</v>
      </c>
      <c r="B620" s="5">
        <f t="shared" si="28"/>
        <v>160329.74266509409</v>
      </c>
      <c r="C620" s="5">
        <f t="shared" si="29"/>
        <v>3206.5948533018818</v>
      </c>
      <c r="D620" s="5">
        <f t="shared" si="27"/>
        <v>961.9784559905645</v>
      </c>
      <c r="E620" s="5" t="s">
        <v>617</v>
      </c>
    </row>
    <row r="621" spans="1:5" x14ac:dyDescent="0.25">
      <c r="A621" s="6" t="s">
        <v>618</v>
      </c>
      <c r="B621" s="5">
        <f t="shared" si="28"/>
        <v>161291.72112108464</v>
      </c>
      <c r="C621" s="5">
        <f t="shared" si="29"/>
        <v>3225.834422421693</v>
      </c>
      <c r="D621" s="5">
        <f t="shared" si="27"/>
        <v>967.75032672650786</v>
      </c>
      <c r="E621" s="5" t="s">
        <v>618</v>
      </c>
    </row>
    <row r="622" spans="1:5" x14ac:dyDescent="0.25">
      <c r="A622" s="6" t="s">
        <v>619</v>
      </c>
      <c r="B622" s="5">
        <f t="shared" si="28"/>
        <v>162259.47144781114</v>
      </c>
      <c r="C622" s="5">
        <f t="shared" si="29"/>
        <v>3245.1894289562229</v>
      </c>
      <c r="D622" s="5">
        <f t="shared" si="27"/>
        <v>973.55682868686677</v>
      </c>
      <c r="E622" s="5" t="s">
        <v>619</v>
      </c>
    </row>
    <row r="623" spans="1:5" x14ac:dyDescent="0.25">
      <c r="A623" s="6" t="s">
        <v>620</v>
      </c>
      <c r="B623" s="5">
        <f t="shared" si="28"/>
        <v>163233.02827649802</v>
      </c>
      <c r="C623" s="5">
        <f t="shared" si="29"/>
        <v>3264.6605655299604</v>
      </c>
      <c r="D623" s="5">
        <f t="shared" si="27"/>
        <v>979.39816965898808</v>
      </c>
      <c r="E623" s="5" t="s">
        <v>620</v>
      </c>
    </row>
    <row r="624" spans="1:5" x14ac:dyDescent="0.25">
      <c r="A624" s="6" t="s">
        <v>621</v>
      </c>
      <c r="B624" s="5">
        <f t="shared" si="28"/>
        <v>164212.42644615701</v>
      </c>
      <c r="C624" s="5">
        <f t="shared" si="29"/>
        <v>3284.2485289231404</v>
      </c>
      <c r="D624" s="5">
        <f t="shared" si="27"/>
        <v>985.27455867694209</v>
      </c>
      <c r="E624" s="5" t="s">
        <v>621</v>
      </c>
    </row>
    <row r="625" spans="1:5" x14ac:dyDescent="0.25">
      <c r="A625" s="6" t="s">
        <v>622</v>
      </c>
      <c r="B625" s="5">
        <f t="shared" si="28"/>
        <v>165197.70100483394</v>
      </c>
      <c r="C625" s="5">
        <f t="shared" si="29"/>
        <v>3303.954020096679</v>
      </c>
      <c r="D625" s="5">
        <f t="shared" si="27"/>
        <v>991.18620602900364</v>
      </c>
      <c r="E625" s="5" t="s">
        <v>622</v>
      </c>
    </row>
    <row r="626" spans="1:5" x14ac:dyDescent="0.25">
      <c r="A626" s="6" t="s">
        <v>623</v>
      </c>
      <c r="B626" s="5">
        <f t="shared" si="28"/>
        <v>166188.88721086294</v>
      </c>
      <c r="C626" s="5">
        <f t="shared" si="29"/>
        <v>3323.7777442172592</v>
      </c>
      <c r="D626" s="5">
        <f t="shared" si="27"/>
        <v>997.13332326517775</v>
      </c>
      <c r="E626" s="5" t="s">
        <v>623</v>
      </c>
    </row>
    <row r="627" spans="1:5" x14ac:dyDescent="0.25">
      <c r="A627" s="6" t="s">
        <v>624</v>
      </c>
      <c r="B627" s="5">
        <f t="shared" si="28"/>
        <v>167186.02053412813</v>
      </c>
      <c r="C627" s="5">
        <f t="shared" si="29"/>
        <v>3343.7204106825625</v>
      </c>
      <c r="D627" s="5">
        <f t="shared" si="27"/>
        <v>1003.1161232047687</v>
      </c>
      <c r="E627" s="5" t="s">
        <v>624</v>
      </c>
    </row>
    <row r="628" spans="1:5" x14ac:dyDescent="0.25">
      <c r="A628" s="6" t="s">
        <v>625</v>
      </c>
      <c r="B628" s="5">
        <f t="shared" si="28"/>
        <v>168189.13665733289</v>
      </c>
      <c r="C628" s="5">
        <f t="shared" si="29"/>
        <v>3363.7827331466578</v>
      </c>
      <c r="D628" s="5">
        <f t="shared" si="27"/>
        <v>1009.1348199439973</v>
      </c>
      <c r="E628" s="5" t="s">
        <v>625</v>
      </c>
    </row>
    <row r="629" spans="1:5" x14ac:dyDescent="0.25">
      <c r="A629" s="6" t="s">
        <v>626</v>
      </c>
      <c r="B629" s="5">
        <f t="shared" si="28"/>
        <v>169198.2714772769</v>
      </c>
      <c r="C629" s="5">
        <f t="shared" si="29"/>
        <v>3383.965429545538</v>
      </c>
      <c r="D629" s="5">
        <f t="shared" si="27"/>
        <v>1015.1896288636614</v>
      </c>
      <c r="E629" s="5" t="s">
        <v>626</v>
      </c>
    </row>
    <row r="630" spans="1:5" x14ac:dyDescent="0.25">
      <c r="A630" s="6" t="s">
        <v>627</v>
      </c>
      <c r="B630" s="5">
        <f t="shared" si="28"/>
        <v>170213.46110614054</v>
      </c>
      <c r="C630" s="5">
        <f t="shared" si="29"/>
        <v>3404.2692221228108</v>
      </c>
      <c r="D630" s="5">
        <f t="shared" si="27"/>
        <v>1021.2807666368432</v>
      </c>
      <c r="E630" s="5" t="s">
        <v>627</v>
      </c>
    </row>
    <row r="631" spans="1:5" x14ac:dyDescent="0.25">
      <c r="A631" s="6" t="s">
        <v>628</v>
      </c>
      <c r="B631" s="5">
        <f t="shared" si="28"/>
        <v>171234.74187277738</v>
      </c>
      <c r="C631" s="5">
        <f t="shared" si="29"/>
        <v>3424.6948374555477</v>
      </c>
      <c r="D631" s="5">
        <f t="shared" si="27"/>
        <v>1027.4084512366642</v>
      </c>
      <c r="E631" s="5" t="s">
        <v>628</v>
      </c>
    </row>
    <row r="632" spans="1:5" x14ac:dyDescent="0.25">
      <c r="A632" s="6" t="s">
        <v>629</v>
      </c>
      <c r="B632" s="5">
        <f t="shared" si="28"/>
        <v>172262.15032401404</v>
      </c>
      <c r="C632" s="5">
        <f t="shared" si="29"/>
        <v>3445.2430064802811</v>
      </c>
      <c r="D632" s="5">
        <f t="shared" si="27"/>
        <v>1033.5729019440844</v>
      </c>
      <c r="E632" s="5" t="s">
        <v>629</v>
      </c>
    </row>
    <row r="633" spans="1:5" x14ac:dyDescent="0.25">
      <c r="A633" s="6" t="s">
        <v>630</v>
      </c>
      <c r="B633" s="5">
        <f t="shared" si="28"/>
        <v>173295.72322595812</v>
      </c>
      <c r="C633" s="5">
        <f t="shared" si="29"/>
        <v>3465.9144645191627</v>
      </c>
      <c r="D633" s="5">
        <f t="shared" si="27"/>
        <v>1039.7743393557487</v>
      </c>
      <c r="E633" s="5" t="s">
        <v>630</v>
      </c>
    </row>
    <row r="634" spans="1:5" x14ac:dyDescent="0.25">
      <c r="A634" s="6" t="s">
        <v>631</v>
      </c>
      <c r="B634" s="5">
        <f t="shared" si="28"/>
        <v>174335.49756531388</v>
      </c>
      <c r="C634" s="5">
        <f t="shared" si="29"/>
        <v>3486.7099513062776</v>
      </c>
      <c r="D634" s="5">
        <f t="shared" si="27"/>
        <v>1046.0129853918831</v>
      </c>
      <c r="E634" s="5" t="s">
        <v>631</v>
      </c>
    </row>
    <row r="635" spans="1:5" x14ac:dyDescent="0.25">
      <c r="A635" s="6" t="s">
        <v>632</v>
      </c>
      <c r="B635" s="5">
        <f t="shared" si="28"/>
        <v>175381.51055070577</v>
      </c>
      <c r="C635" s="5">
        <f t="shared" si="29"/>
        <v>3507.6302110141155</v>
      </c>
      <c r="D635" s="5">
        <f t="shared" si="27"/>
        <v>1052.2890633042346</v>
      </c>
      <c r="E635" s="5" t="s">
        <v>632</v>
      </c>
    </row>
    <row r="636" spans="1:5" x14ac:dyDescent="0.25">
      <c r="A636" s="6" t="s">
        <v>633</v>
      </c>
      <c r="B636" s="5">
        <f t="shared" si="28"/>
        <v>176433.79961401</v>
      </c>
      <c r="C636" s="5">
        <f t="shared" si="29"/>
        <v>3528.6759922802003</v>
      </c>
      <c r="D636" s="5">
        <f t="shared" si="27"/>
        <v>1058.6027976840601</v>
      </c>
      <c r="E636" s="5" t="s">
        <v>633</v>
      </c>
    </row>
    <row r="637" spans="1:5" x14ac:dyDescent="0.25">
      <c r="A637" s="6" t="s">
        <v>634</v>
      </c>
      <c r="B637" s="5">
        <f t="shared" si="28"/>
        <v>177492.40241169406</v>
      </c>
      <c r="C637" s="5">
        <f t="shared" si="29"/>
        <v>3549.8480482338814</v>
      </c>
      <c r="D637" s="5">
        <f t="shared" si="27"/>
        <v>1064.9544144701645</v>
      </c>
      <c r="E637" s="5" t="s">
        <v>634</v>
      </c>
    </row>
    <row r="638" spans="1:5" x14ac:dyDescent="0.25">
      <c r="A638" s="6" t="s">
        <v>635</v>
      </c>
      <c r="B638" s="5">
        <f t="shared" si="28"/>
        <v>178557.35682616421</v>
      </c>
      <c r="C638" s="5">
        <f t="shared" si="29"/>
        <v>3571.1471365232842</v>
      </c>
      <c r="D638" s="5">
        <f t="shared" si="27"/>
        <v>1071.3441409569853</v>
      </c>
      <c r="E638" s="5" t="s">
        <v>635</v>
      </c>
    </row>
    <row r="639" spans="1:5" x14ac:dyDescent="0.25">
      <c r="A639" s="6" t="s">
        <v>636</v>
      </c>
      <c r="B639" s="5">
        <f t="shared" si="28"/>
        <v>179628.7009671212</v>
      </c>
      <c r="C639" s="5">
        <f t="shared" si="29"/>
        <v>3592.574019342424</v>
      </c>
      <c r="D639" s="5">
        <f t="shared" si="27"/>
        <v>1077.7722058027271</v>
      </c>
      <c r="E639" s="5" t="s">
        <v>636</v>
      </c>
    </row>
    <row r="640" spans="1:5" x14ac:dyDescent="0.25">
      <c r="A640" s="6" t="s">
        <v>637</v>
      </c>
      <c r="B640" s="5">
        <f t="shared" si="28"/>
        <v>180706.47317292393</v>
      </c>
      <c r="C640" s="5">
        <f t="shared" si="29"/>
        <v>3614.1294634584788</v>
      </c>
      <c r="D640" s="5">
        <f t="shared" si="27"/>
        <v>1084.2388390375436</v>
      </c>
      <c r="E640" s="5" t="s">
        <v>637</v>
      </c>
    </row>
    <row r="641" spans="1:5" x14ac:dyDescent="0.25">
      <c r="A641" s="6" t="s">
        <v>638</v>
      </c>
      <c r="B641" s="5">
        <f t="shared" si="28"/>
        <v>181790.71201196147</v>
      </c>
      <c r="C641" s="5">
        <f t="shared" si="29"/>
        <v>3635.8142402392295</v>
      </c>
      <c r="D641" s="5">
        <f t="shared" si="27"/>
        <v>1090.7442720717688</v>
      </c>
      <c r="E641" s="5" t="s">
        <v>638</v>
      </c>
    </row>
    <row r="642" spans="1:5" x14ac:dyDescent="0.25">
      <c r="A642" s="6" t="s">
        <v>639</v>
      </c>
      <c r="B642" s="5">
        <f t="shared" si="28"/>
        <v>182881.45628403325</v>
      </c>
      <c r="C642" s="5">
        <f t="shared" si="29"/>
        <v>3657.6291256806653</v>
      </c>
      <c r="D642" s="5">
        <f t="shared" si="27"/>
        <v>1097.2887377041995</v>
      </c>
      <c r="E642" s="5" t="s">
        <v>639</v>
      </c>
    </row>
    <row r="643" spans="1:5" x14ac:dyDescent="0.25">
      <c r="A643" s="6" t="s">
        <v>640</v>
      </c>
      <c r="B643" s="5">
        <f t="shared" si="28"/>
        <v>183978.74502173744</v>
      </c>
      <c r="C643" s="5">
        <f t="shared" si="29"/>
        <v>3679.574900434749</v>
      </c>
      <c r="D643" s="5">
        <f t="shared" si="27"/>
        <v>1103.8724701304247</v>
      </c>
      <c r="E643" s="5" t="s">
        <v>640</v>
      </c>
    </row>
    <row r="644" spans="1:5" x14ac:dyDescent="0.25">
      <c r="A644" s="6" t="s">
        <v>641</v>
      </c>
      <c r="B644" s="5">
        <f t="shared" si="28"/>
        <v>185082.61749186786</v>
      </c>
      <c r="C644" s="5">
        <f t="shared" si="29"/>
        <v>3701.6523498373572</v>
      </c>
      <c r="D644" s="5">
        <f t="shared" si="27"/>
        <v>1110.495704951207</v>
      </c>
      <c r="E644" s="5" t="s">
        <v>641</v>
      </c>
    </row>
    <row r="645" spans="1:5" x14ac:dyDescent="0.25">
      <c r="A645" s="6" t="s">
        <v>642</v>
      </c>
      <c r="B645" s="5">
        <f t="shared" si="28"/>
        <v>186193.11319681906</v>
      </c>
      <c r="C645" s="5">
        <f t="shared" si="29"/>
        <v>3723.8622639363812</v>
      </c>
      <c r="D645" s="5">
        <f t="shared" si="27"/>
        <v>1117.1586791809143</v>
      </c>
      <c r="E645" s="5" t="s">
        <v>642</v>
      </c>
    </row>
    <row r="646" spans="1:5" x14ac:dyDescent="0.25">
      <c r="A646" s="6" t="s">
        <v>643</v>
      </c>
      <c r="B646" s="5">
        <f t="shared" si="28"/>
        <v>187310.27187599998</v>
      </c>
      <c r="C646" s="5">
        <f t="shared" si="29"/>
        <v>3746.2054375199996</v>
      </c>
      <c r="D646" s="5">
        <f t="shared" ref="D646:D709" si="30">C646*$B$2*$E$2</f>
        <v>1123.8616312559998</v>
      </c>
      <c r="E646" s="5" t="s">
        <v>643</v>
      </c>
    </row>
    <row r="647" spans="1:5" x14ac:dyDescent="0.25">
      <c r="A647" s="6" t="s">
        <v>644</v>
      </c>
      <c r="B647" s="5">
        <f t="shared" si="28"/>
        <v>188434.13350725599</v>
      </c>
      <c r="C647" s="5">
        <f t="shared" si="29"/>
        <v>3768.68267014512</v>
      </c>
      <c r="D647" s="5">
        <f t="shared" si="30"/>
        <v>1130.6048010435359</v>
      </c>
      <c r="E647" s="5" t="s">
        <v>644</v>
      </c>
    </row>
    <row r="648" spans="1:5" x14ac:dyDescent="0.25">
      <c r="A648" s="6" t="s">
        <v>645</v>
      </c>
      <c r="B648" s="5">
        <f t="shared" si="28"/>
        <v>189564.73830829954</v>
      </c>
      <c r="C648" s="5">
        <f t="shared" si="29"/>
        <v>3791.2947661659909</v>
      </c>
      <c r="D648" s="5">
        <f t="shared" si="30"/>
        <v>1137.3884298497971</v>
      </c>
      <c r="E648" s="5" t="s">
        <v>645</v>
      </c>
    </row>
    <row r="649" spans="1:5" x14ac:dyDescent="0.25">
      <c r="A649" s="6" t="s">
        <v>646</v>
      </c>
      <c r="B649" s="5">
        <f t="shared" ref="B649:B712" si="31">B648+D648</f>
        <v>190702.12673814932</v>
      </c>
      <c r="C649" s="5">
        <f t="shared" ref="C649:C712" si="32">B649*$C$2</f>
        <v>3814.0425347629866</v>
      </c>
      <c r="D649" s="5">
        <f t="shared" si="30"/>
        <v>1144.212760428896</v>
      </c>
      <c r="E649" s="5" t="s">
        <v>646</v>
      </c>
    </row>
    <row r="650" spans="1:5" x14ac:dyDescent="0.25">
      <c r="A650" s="6" t="s">
        <v>647</v>
      </c>
      <c r="B650" s="5">
        <f t="shared" si="31"/>
        <v>191846.33949857822</v>
      </c>
      <c r="C650" s="5">
        <f t="shared" si="32"/>
        <v>3836.9267899715646</v>
      </c>
      <c r="D650" s="5">
        <f t="shared" si="30"/>
        <v>1151.0780369914694</v>
      </c>
      <c r="E650" s="5" t="s">
        <v>647</v>
      </c>
    </row>
    <row r="651" spans="1:5" x14ac:dyDescent="0.25">
      <c r="A651" s="6" t="s">
        <v>648</v>
      </c>
      <c r="B651" s="5">
        <f t="shared" si="31"/>
        <v>192997.41753556969</v>
      </c>
      <c r="C651" s="5">
        <f t="shared" si="32"/>
        <v>3859.9483507113941</v>
      </c>
      <c r="D651" s="5">
        <f t="shared" si="30"/>
        <v>1157.9845052134183</v>
      </c>
      <c r="E651" s="5" t="s">
        <v>648</v>
      </c>
    </row>
    <row r="652" spans="1:5" x14ac:dyDescent="0.25">
      <c r="A652" s="6" t="s">
        <v>649</v>
      </c>
      <c r="B652" s="5">
        <f t="shared" si="31"/>
        <v>194155.40204078311</v>
      </c>
      <c r="C652" s="5">
        <f t="shared" si="32"/>
        <v>3883.1080408156622</v>
      </c>
      <c r="D652" s="5">
        <f t="shared" si="30"/>
        <v>1164.9324122446985</v>
      </c>
      <c r="E652" s="5" t="s">
        <v>649</v>
      </c>
    </row>
    <row r="653" spans="1:5" x14ac:dyDescent="0.25">
      <c r="A653" s="6" t="s">
        <v>650</v>
      </c>
      <c r="B653" s="5">
        <f t="shared" si="31"/>
        <v>195320.33445302781</v>
      </c>
      <c r="C653" s="5">
        <f t="shared" si="32"/>
        <v>3906.4066890605563</v>
      </c>
      <c r="D653" s="5">
        <f t="shared" si="30"/>
        <v>1171.9220067181668</v>
      </c>
      <c r="E653" s="5" t="s">
        <v>650</v>
      </c>
    </row>
    <row r="654" spans="1:5" x14ac:dyDescent="0.25">
      <c r="A654" s="6" t="s">
        <v>651</v>
      </c>
      <c r="B654" s="5">
        <f t="shared" si="31"/>
        <v>196492.25645974599</v>
      </c>
      <c r="C654" s="5">
        <f t="shared" si="32"/>
        <v>3929.84512919492</v>
      </c>
      <c r="D654" s="5">
        <f t="shared" si="30"/>
        <v>1178.953538758476</v>
      </c>
      <c r="E654" s="5" t="s">
        <v>651</v>
      </c>
    </row>
    <row r="655" spans="1:5" x14ac:dyDescent="0.25">
      <c r="A655" s="6" t="s">
        <v>652</v>
      </c>
      <c r="B655" s="5">
        <f t="shared" si="31"/>
        <v>197671.20999850446</v>
      </c>
      <c r="C655" s="5">
        <f t="shared" si="32"/>
        <v>3953.4241999700894</v>
      </c>
      <c r="D655" s="5">
        <f t="shared" si="30"/>
        <v>1186.0272599910268</v>
      </c>
      <c r="E655" s="5" t="s">
        <v>652</v>
      </c>
    </row>
    <row r="656" spans="1:5" x14ac:dyDescent="0.25">
      <c r="A656" s="6" t="s">
        <v>653</v>
      </c>
      <c r="B656" s="5">
        <f t="shared" si="31"/>
        <v>198857.2372584955</v>
      </c>
      <c r="C656" s="5">
        <f t="shared" si="32"/>
        <v>3977.14474516991</v>
      </c>
      <c r="D656" s="5">
        <f t="shared" si="30"/>
        <v>1193.143423550973</v>
      </c>
      <c r="E656" s="5" t="s">
        <v>653</v>
      </c>
    </row>
    <row r="657" spans="1:5" x14ac:dyDescent="0.25">
      <c r="A657" s="6" t="s">
        <v>654</v>
      </c>
      <c r="B657" s="5">
        <f t="shared" si="31"/>
        <v>200050.38068204647</v>
      </c>
      <c r="C657" s="5">
        <f t="shared" si="32"/>
        <v>4001.0076136409293</v>
      </c>
      <c r="D657" s="5">
        <f t="shared" si="30"/>
        <v>1200.3022840922788</v>
      </c>
      <c r="E657" s="5" t="s">
        <v>654</v>
      </c>
    </row>
    <row r="658" spans="1:5" x14ac:dyDescent="0.25">
      <c r="A658" s="6" t="s">
        <v>655</v>
      </c>
      <c r="B658" s="5">
        <f t="shared" si="31"/>
        <v>201250.68296613876</v>
      </c>
      <c r="C658" s="5">
        <f t="shared" si="32"/>
        <v>4025.0136593227753</v>
      </c>
      <c r="D658" s="5">
        <f t="shared" si="30"/>
        <v>1207.5040977968326</v>
      </c>
      <c r="E658" s="5" t="s">
        <v>655</v>
      </c>
    </row>
    <row r="659" spans="1:5" x14ac:dyDescent="0.25">
      <c r="A659" s="6" t="s">
        <v>656</v>
      </c>
      <c r="B659" s="5">
        <f t="shared" si="31"/>
        <v>202458.18706393559</v>
      </c>
      <c r="C659" s="5">
        <f t="shared" si="32"/>
        <v>4049.1637412787118</v>
      </c>
      <c r="D659" s="5">
        <f t="shared" si="30"/>
        <v>1214.7491223836134</v>
      </c>
      <c r="E659" s="5" t="s">
        <v>656</v>
      </c>
    </row>
    <row r="660" spans="1:5" x14ac:dyDescent="0.25">
      <c r="A660" s="6" t="s">
        <v>657</v>
      </c>
      <c r="B660" s="5">
        <f t="shared" si="31"/>
        <v>203672.93618631922</v>
      </c>
      <c r="C660" s="5">
        <f t="shared" si="32"/>
        <v>4073.4587237263845</v>
      </c>
      <c r="D660" s="5">
        <f t="shared" si="30"/>
        <v>1222.0376171179153</v>
      </c>
      <c r="E660" s="5" t="s">
        <v>657</v>
      </c>
    </row>
    <row r="661" spans="1:5" x14ac:dyDescent="0.25">
      <c r="A661" s="6" t="s">
        <v>658</v>
      </c>
      <c r="B661" s="5">
        <f t="shared" si="31"/>
        <v>204894.97380343714</v>
      </c>
      <c r="C661" s="5">
        <f t="shared" si="32"/>
        <v>4097.8994760687428</v>
      </c>
      <c r="D661" s="5">
        <f t="shared" si="30"/>
        <v>1229.3698428206228</v>
      </c>
      <c r="E661" s="5" t="s">
        <v>658</v>
      </c>
    </row>
    <row r="662" spans="1:5" x14ac:dyDescent="0.25">
      <c r="A662" s="6" t="s">
        <v>659</v>
      </c>
      <c r="B662" s="5">
        <f t="shared" si="31"/>
        <v>206124.34364625777</v>
      </c>
      <c r="C662" s="5">
        <f t="shared" si="32"/>
        <v>4122.4868729251557</v>
      </c>
      <c r="D662" s="5">
        <f t="shared" si="30"/>
        <v>1236.7460618775467</v>
      </c>
      <c r="E662" s="5" t="s">
        <v>659</v>
      </c>
    </row>
    <row r="663" spans="1:5" x14ac:dyDescent="0.25">
      <c r="A663" s="6" t="s">
        <v>660</v>
      </c>
      <c r="B663" s="5">
        <f t="shared" si="31"/>
        <v>207361.08970813532</v>
      </c>
      <c r="C663" s="5">
        <f t="shared" si="32"/>
        <v>4147.2217941627068</v>
      </c>
      <c r="D663" s="5">
        <f t="shared" si="30"/>
        <v>1244.166538248812</v>
      </c>
      <c r="E663" s="5" t="s">
        <v>660</v>
      </c>
    </row>
    <row r="664" spans="1:5" x14ac:dyDescent="0.25">
      <c r="A664" s="6" t="s">
        <v>661</v>
      </c>
      <c r="B664" s="5">
        <f t="shared" si="31"/>
        <v>208605.25624638412</v>
      </c>
      <c r="C664" s="5">
        <f t="shared" si="32"/>
        <v>4172.1051249276825</v>
      </c>
      <c r="D664" s="5">
        <f t="shared" si="30"/>
        <v>1251.6315374783046</v>
      </c>
      <c r="E664" s="5" t="s">
        <v>661</v>
      </c>
    </row>
    <row r="665" spans="1:5" x14ac:dyDescent="0.25">
      <c r="A665" s="6" t="s">
        <v>662</v>
      </c>
      <c r="B665" s="5">
        <f t="shared" si="31"/>
        <v>209856.88778386242</v>
      </c>
      <c r="C665" s="5">
        <f t="shared" si="32"/>
        <v>4197.1377556772486</v>
      </c>
      <c r="D665" s="5">
        <f t="shared" si="30"/>
        <v>1259.1413267031746</v>
      </c>
      <c r="E665" s="5" t="s">
        <v>662</v>
      </c>
    </row>
    <row r="666" spans="1:5" x14ac:dyDescent="0.25">
      <c r="A666" s="6" t="s">
        <v>663</v>
      </c>
      <c r="B666" s="5">
        <f t="shared" si="31"/>
        <v>211116.02911056558</v>
      </c>
      <c r="C666" s="5">
        <f t="shared" si="32"/>
        <v>4222.3205822113114</v>
      </c>
      <c r="D666" s="5">
        <f t="shared" si="30"/>
        <v>1266.6961746633933</v>
      </c>
      <c r="E666" s="5" t="s">
        <v>663</v>
      </c>
    </row>
    <row r="667" spans="1:5" x14ac:dyDescent="0.25">
      <c r="A667" s="6" t="s">
        <v>664</v>
      </c>
      <c r="B667" s="5">
        <f t="shared" si="31"/>
        <v>212382.72528522898</v>
      </c>
      <c r="C667" s="5">
        <f t="shared" si="32"/>
        <v>4247.6545057045796</v>
      </c>
      <c r="D667" s="5">
        <f t="shared" si="30"/>
        <v>1274.2963517113737</v>
      </c>
      <c r="E667" s="5" t="s">
        <v>664</v>
      </c>
    </row>
    <row r="668" spans="1:5" x14ac:dyDescent="0.25">
      <c r="A668" s="6" t="s">
        <v>665</v>
      </c>
      <c r="B668" s="5">
        <f t="shared" si="31"/>
        <v>213657.02163694036</v>
      </c>
      <c r="C668" s="5">
        <f t="shared" si="32"/>
        <v>4273.1404327388072</v>
      </c>
      <c r="D668" s="5">
        <f t="shared" si="30"/>
        <v>1281.9421298216421</v>
      </c>
      <c r="E668" s="5" t="s">
        <v>665</v>
      </c>
    </row>
    <row r="669" spans="1:5" x14ac:dyDescent="0.25">
      <c r="A669" s="6" t="s">
        <v>666</v>
      </c>
      <c r="B669" s="5">
        <f t="shared" si="31"/>
        <v>214938.963766762</v>
      </c>
      <c r="C669" s="5">
        <f t="shared" si="32"/>
        <v>4298.7792753352396</v>
      </c>
      <c r="D669" s="5">
        <f t="shared" si="30"/>
        <v>1289.6337826005717</v>
      </c>
      <c r="E669" s="5" t="s">
        <v>666</v>
      </c>
    </row>
    <row r="670" spans="1:5" x14ac:dyDescent="0.25">
      <c r="A670" s="6" t="s">
        <v>667</v>
      </c>
      <c r="B670" s="5">
        <f t="shared" si="31"/>
        <v>216228.59754936257</v>
      </c>
      <c r="C670" s="5">
        <f t="shared" si="32"/>
        <v>4324.5719509872515</v>
      </c>
      <c r="D670" s="5">
        <f t="shared" si="30"/>
        <v>1297.3715852961755</v>
      </c>
      <c r="E670" s="5" t="s">
        <v>667</v>
      </c>
    </row>
    <row r="671" spans="1:5" x14ac:dyDescent="0.25">
      <c r="A671" s="6" t="s">
        <v>668</v>
      </c>
      <c r="B671" s="5">
        <f t="shared" si="31"/>
        <v>217525.96913465875</v>
      </c>
      <c r="C671" s="5">
        <f t="shared" si="32"/>
        <v>4350.5193826931754</v>
      </c>
      <c r="D671" s="5">
        <f t="shared" si="30"/>
        <v>1305.1558148079525</v>
      </c>
      <c r="E671" s="5" t="s">
        <v>668</v>
      </c>
    </row>
    <row r="672" spans="1:5" x14ac:dyDescent="0.25">
      <c r="A672" s="6" t="s">
        <v>669</v>
      </c>
      <c r="B672" s="5">
        <f t="shared" si="31"/>
        <v>218831.1249494667</v>
      </c>
      <c r="C672" s="5">
        <f t="shared" si="32"/>
        <v>4376.6224989893344</v>
      </c>
      <c r="D672" s="5">
        <f t="shared" si="30"/>
        <v>1312.9867496968002</v>
      </c>
      <c r="E672" s="5" t="s">
        <v>669</v>
      </c>
    </row>
    <row r="673" spans="1:5" x14ac:dyDescent="0.25">
      <c r="A673" s="6" t="s">
        <v>670</v>
      </c>
      <c r="B673" s="5">
        <f t="shared" si="31"/>
        <v>220144.11169916351</v>
      </c>
      <c r="C673" s="5">
        <f t="shared" si="32"/>
        <v>4402.8822339832705</v>
      </c>
      <c r="D673" s="5">
        <f t="shared" si="30"/>
        <v>1320.864670194981</v>
      </c>
      <c r="E673" s="5" t="s">
        <v>670</v>
      </c>
    </row>
    <row r="674" spans="1:5" x14ac:dyDescent="0.25">
      <c r="A674" s="6" t="s">
        <v>671</v>
      </c>
      <c r="B674" s="5">
        <f t="shared" si="31"/>
        <v>221464.97636935848</v>
      </c>
      <c r="C674" s="5">
        <f t="shared" si="32"/>
        <v>4429.2995273871702</v>
      </c>
      <c r="D674" s="5">
        <f t="shared" si="30"/>
        <v>1328.7898582161511</v>
      </c>
      <c r="E674" s="5" t="s">
        <v>671</v>
      </c>
    </row>
    <row r="675" spans="1:5" x14ac:dyDescent="0.25">
      <c r="A675" s="6" t="s">
        <v>672</v>
      </c>
      <c r="B675" s="5">
        <f t="shared" si="31"/>
        <v>222793.76622757464</v>
      </c>
      <c r="C675" s="5">
        <f t="shared" si="32"/>
        <v>4455.8753245514927</v>
      </c>
      <c r="D675" s="5">
        <f t="shared" si="30"/>
        <v>1336.7625973654478</v>
      </c>
      <c r="E675" s="5" t="s">
        <v>672</v>
      </c>
    </row>
    <row r="676" spans="1:5" x14ac:dyDescent="0.25">
      <c r="A676" s="6" t="s">
        <v>673</v>
      </c>
      <c r="B676" s="5">
        <f t="shared" si="31"/>
        <v>224130.52882494009</v>
      </c>
      <c r="C676" s="5">
        <f t="shared" si="32"/>
        <v>4482.6105764988015</v>
      </c>
      <c r="D676" s="5">
        <f t="shared" si="30"/>
        <v>1344.7831729496404</v>
      </c>
      <c r="E676" s="5" t="s">
        <v>673</v>
      </c>
    </row>
    <row r="677" spans="1:5" x14ac:dyDescent="0.25">
      <c r="A677" s="6" t="s">
        <v>674</v>
      </c>
      <c r="B677" s="5">
        <f t="shared" si="31"/>
        <v>225475.31199788974</v>
      </c>
      <c r="C677" s="5">
        <f t="shared" si="32"/>
        <v>4509.5062399577946</v>
      </c>
      <c r="D677" s="5">
        <f t="shared" si="30"/>
        <v>1352.8518719873384</v>
      </c>
      <c r="E677" s="5" t="s">
        <v>674</v>
      </c>
    </row>
    <row r="678" spans="1:5" x14ac:dyDescent="0.25">
      <c r="A678" s="6" t="s">
        <v>675</v>
      </c>
      <c r="B678" s="5">
        <f t="shared" si="31"/>
        <v>226828.16386987708</v>
      </c>
      <c r="C678" s="5">
        <f t="shared" si="32"/>
        <v>4536.5632773975422</v>
      </c>
      <c r="D678" s="5">
        <f t="shared" si="30"/>
        <v>1360.9689832192626</v>
      </c>
      <c r="E678" s="5" t="s">
        <v>675</v>
      </c>
    </row>
    <row r="679" spans="1:5" x14ac:dyDescent="0.25">
      <c r="A679" s="6" t="s">
        <v>676</v>
      </c>
      <c r="B679" s="5">
        <f t="shared" si="31"/>
        <v>228189.13285309635</v>
      </c>
      <c r="C679" s="5">
        <f t="shared" si="32"/>
        <v>4563.7826570619272</v>
      </c>
      <c r="D679" s="5">
        <f t="shared" si="30"/>
        <v>1369.134797118578</v>
      </c>
      <c r="E679" s="5" t="s">
        <v>676</v>
      </c>
    </row>
    <row r="680" spans="1:5" x14ac:dyDescent="0.25">
      <c r="A680" s="6" t="s">
        <v>677</v>
      </c>
      <c r="B680" s="5">
        <f t="shared" si="31"/>
        <v>229558.26765021493</v>
      </c>
      <c r="C680" s="5">
        <f t="shared" si="32"/>
        <v>4591.1653530042986</v>
      </c>
      <c r="D680" s="5">
        <f t="shared" si="30"/>
        <v>1377.3496059012896</v>
      </c>
      <c r="E680" s="5" t="s">
        <v>677</v>
      </c>
    </row>
    <row r="681" spans="1:5" x14ac:dyDescent="0.25">
      <c r="A681" s="6" t="s">
        <v>682</v>
      </c>
      <c r="B681" s="5">
        <f t="shared" si="31"/>
        <v>230935.61725611621</v>
      </c>
      <c r="C681" s="5">
        <f t="shared" si="32"/>
        <v>4618.7123451223242</v>
      </c>
      <c r="D681" s="5">
        <f t="shared" si="30"/>
        <v>1385.6137035366971</v>
      </c>
      <c r="E681" s="5" t="s">
        <v>682</v>
      </c>
    </row>
    <row r="682" spans="1:5" x14ac:dyDescent="0.25">
      <c r="A682" s="6" t="s">
        <v>683</v>
      </c>
      <c r="B682" s="5">
        <f t="shared" si="31"/>
        <v>232321.23095965289</v>
      </c>
      <c r="C682" s="5">
        <f t="shared" si="32"/>
        <v>4646.4246191930579</v>
      </c>
      <c r="D682" s="5">
        <f t="shared" si="30"/>
        <v>1393.9273857579174</v>
      </c>
      <c r="E682" s="5" t="s">
        <v>683</v>
      </c>
    </row>
    <row r="683" spans="1:5" x14ac:dyDescent="0.25">
      <c r="A683" s="6" t="s">
        <v>684</v>
      </c>
      <c r="B683" s="5">
        <f t="shared" si="31"/>
        <v>233715.1583454108</v>
      </c>
      <c r="C683" s="5">
        <f t="shared" si="32"/>
        <v>4674.3031669082166</v>
      </c>
      <c r="D683" s="5">
        <f t="shared" si="30"/>
        <v>1402.290950072465</v>
      </c>
      <c r="E683" s="5" t="s">
        <v>684</v>
      </c>
    </row>
    <row r="684" spans="1:5" x14ac:dyDescent="0.25">
      <c r="A684" s="6" t="s">
        <v>685</v>
      </c>
      <c r="B684" s="5">
        <f t="shared" si="31"/>
        <v>235117.44929548327</v>
      </c>
      <c r="C684" s="5">
        <f t="shared" si="32"/>
        <v>4702.3489859096653</v>
      </c>
      <c r="D684" s="5">
        <f t="shared" si="30"/>
        <v>1410.7046957728996</v>
      </c>
      <c r="E684" s="5" t="s">
        <v>685</v>
      </c>
    </row>
    <row r="685" spans="1:5" x14ac:dyDescent="0.25">
      <c r="A685" s="6" t="s">
        <v>686</v>
      </c>
      <c r="B685" s="5">
        <f t="shared" si="31"/>
        <v>236528.15399125617</v>
      </c>
      <c r="C685" s="5">
        <f t="shared" si="32"/>
        <v>4730.5630798251232</v>
      </c>
      <c r="D685" s="5">
        <f t="shared" si="30"/>
        <v>1419.168923947537</v>
      </c>
      <c r="E685" s="5" t="s">
        <v>686</v>
      </c>
    </row>
    <row r="686" spans="1:5" x14ac:dyDescent="0.25">
      <c r="A686" s="6" t="s">
        <v>687</v>
      </c>
      <c r="B686" s="5">
        <f t="shared" si="31"/>
        <v>237947.32291520369</v>
      </c>
      <c r="C686" s="5">
        <f t="shared" si="32"/>
        <v>4758.9464583040744</v>
      </c>
      <c r="D686" s="5">
        <f t="shared" si="30"/>
        <v>1427.6839374912222</v>
      </c>
      <c r="E686" s="5" t="s">
        <v>687</v>
      </c>
    </row>
    <row r="687" spans="1:5" x14ac:dyDescent="0.25">
      <c r="A687" s="6" t="s">
        <v>688</v>
      </c>
      <c r="B687" s="5">
        <f t="shared" si="31"/>
        <v>239375.0068526949</v>
      </c>
      <c r="C687" s="5">
        <f t="shared" si="32"/>
        <v>4787.5001370538985</v>
      </c>
      <c r="D687" s="5">
        <f t="shared" si="30"/>
        <v>1436.2500411161695</v>
      </c>
      <c r="E687" s="5" t="s">
        <v>688</v>
      </c>
    </row>
    <row r="688" spans="1:5" x14ac:dyDescent="0.25">
      <c r="A688" s="6" t="s">
        <v>689</v>
      </c>
      <c r="B688" s="5">
        <f t="shared" si="31"/>
        <v>240811.25689381108</v>
      </c>
      <c r="C688" s="5">
        <f t="shared" si="32"/>
        <v>4816.2251378762221</v>
      </c>
      <c r="D688" s="5">
        <f t="shared" si="30"/>
        <v>1444.8675413628666</v>
      </c>
      <c r="E688" s="5" t="s">
        <v>689</v>
      </c>
    </row>
    <row r="689" spans="1:5" x14ac:dyDescent="0.25">
      <c r="A689" s="6" t="s">
        <v>690</v>
      </c>
      <c r="B689" s="5">
        <f t="shared" si="31"/>
        <v>242256.12443517396</v>
      </c>
      <c r="C689" s="5">
        <f t="shared" si="32"/>
        <v>4845.1224887034796</v>
      </c>
      <c r="D689" s="5">
        <f t="shared" si="30"/>
        <v>1453.5367466110438</v>
      </c>
      <c r="E689" s="5" t="s">
        <v>690</v>
      </c>
    </row>
    <row r="690" spans="1:5" x14ac:dyDescent="0.25">
      <c r="A690" s="6" t="s">
        <v>691</v>
      </c>
      <c r="B690" s="5">
        <f t="shared" si="31"/>
        <v>243709.66118178499</v>
      </c>
      <c r="C690" s="5">
        <f t="shared" si="32"/>
        <v>4874.1932236356997</v>
      </c>
      <c r="D690" s="5">
        <f t="shared" si="30"/>
        <v>1462.2579670907098</v>
      </c>
      <c r="E690" s="5" t="s">
        <v>691</v>
      </c>
    </row>
    <row r="691" spans="1:5" x14ac:dyDescent="0.25">
      <c r="A691" s="6" t="s">
        <v>692</v>
      </c>
      <c r="B691" s="5">
        <f t="shared" si="31"/>
        <v>245171.91914887569</v>
      </c>
      <c r="C691" s="5">
        <f t="shared" si="32"/>
        <v>4903.4383829775143</v>
      </c>
      <c r="D691" s="5">
        <f t="shared" si="30"/>
        <v>1471.0315148932543</v>
      </c>
      <c r="E691" s="5" t="s">
        <v>692</v>
      </c>
    </row>
    <row r="692" spans="1:5" x14ac:dyDescent="0.25">
      <c r="A692" s="6" t="s">
        <v>693</v>
      </c>
      <c r="B692" s="5">
        <f t="shared" si="31"/>
        <v>246642.95066376895</v>
      </c>
      <c r="C692" s="5">
        <f t="shared" si="32"/>
        <v>4932.8590132753789</v>
      </c>
      <c r="D692" s="5">
        <f t="shared" si="30"/>
        <v>1479.8577039826137</v>
      </c>
      <c r="E692" s="5" t="s">
        <v>693</v>
      </c>
    </row>
    <row r="693" spans="1:5" x14ac:dyDescent="0.25">
      <c r="A693" s="6" t="s">
        <v>694</v>
      </c>
      <c r="B693" s="5">
        <f t="shared" si="31"/>
        <v>248122.80836775157</v>
      </c>
      <c r="C693" s="5">
        <f t="shared" si="32"/>
        <v>4962.4561673550315</v>
      </c>
      <c r="D693" s="5">
        <f t="shared" si="30"/>
        <v>1488.7368502065094</v>
      </c>
      <c r="E693" s="5" t="s">
        <v>694</v>
      </c>
    </row>
    <row r="694" spans="1:5" x14ac:dyDescent="0.25">
      <c r="A694" s="6" t="s">
        <v>695</v>
      </c>
      <c r="B694" s="5">
        <f t="shared" si="31"/>
        <v>249611.54521795808</v>
      </c>
      <c r="C694" s="5">
        <f t="shared" si="32"/>
        <v>4992.2309043591613</v>
      </c>
      <c r="D694" s="5">
        <f t="shared" si="30"/>
        <v>1497.6692713077484</v>
      </c>
      <c r="E694" s="5" t="s">
        <v>695</v>
      </c>
    </row>
    <row r="695" spans="1:5" x14ac:dyDescent="0.25">
      <c r="A695" s="6" t="s">
        <v>696</v>
      </c>
      <c r="B695" s="5">
        <f t="shared" si="31"/>
        <v>251109.21448926581</v>
      </c>
      <c r="C695" s="5">
        <f t="shared" si="32"/>
        <v>5022.1842897853167</v>
      </c>
      <c r="D695" s="5">
        <f t="shared" si="30"/>
        <v>1506.6552869355949</v>
      </c>
      <c r="E695" s="5" t="s">
        <v>696</v>
      </c>
    </row>
    <row r="696" spans="1:5" x14ac:dyDescent="0.25">
      <c r="A696" s="6" t="s">
        <v>697</v>
      </c>
      <c r="B696" s="5">
        <f t="shared" si="31"/>
        <v>252615.86977620141</v>
      </c>
      <c r="C696" s="5">
        <f t="shared" si="32"/>
        <v>5052.3173955240281</v>
      </c>
      <c r="D696" s="5">
        <f t="shared" si="30"/>
        <v>1515.6952186572084</v>
      </c>
      <c r="E696" s="5" t="s">
        <v>697</v>
      </c>
    </row>
    <row r="697" spans="1:5" x14ac:dyDescent="0.25">
      <c r="A697" s="6" t="s">
        <v>698</v>
      </c>
      <c r="B697" s="5">
        <f t="shared" si="31"/>
        <v>254131.56499485861</v>
      </c>
      <c r="C697" s="5">
        <f t="shared" si="32"/>
        <v>5082.6312998971725</v>
      </c>
      <c r="D697" s="5">
        <f t="shared" si="30"/>
        <v>1524.7893899691517</v>
      </c>
      <c r="E697" s="5" t="s">
        <v>698</v>
      </c>
    </row>
    <row r="698" spans="1:5" x14ac:dyDescent="0.25">
      <c r="A698" s="6" t="s">
        <v>699</v>
      </c>
      <c r="B698" s="5">
        <f t="shared" si="31"/>
        <v>255656.35438482775</v>
      </c>
      <c r="C698" s="5">
        <f t="shared" si="32"/>
        <v>5113.1270876965555</v>
      </c>
      <c r="D698" s="5">
        <f t="shared" si="30"/>
        <v>1533.9381263089665</v>
      </c>
      <c r="E698" s="5" t="s">
        <v>699</v>
      </c>
    </row>
    <row r="699" spans="1:5" x14ac:dyDescent="0.25">
      <c r="A699" s="6" t="s">
        <v>700</v>
      </c>
      <c r="B699" s="5">
        <f t="shared" si="31"/>
        <v>257190.29251113671</v>
      </c>
      <c r="C699" s="5">
        <f t="shared" si="32"/>
        <v>5143.8058502227341</v>
      </c>
      <c r="D699" s="5">
        <f t="shared" si="30"/>
        <v>1543.1417550668202</v>
      </c>
      <c r="E699" s="5" t="s">
        <v>700</v>
      </c>
    </row>
    <row r="700" spans="1:5" x14ac:dyDescent="0.25">
      <c r="A700" s="6" t="s">
        <v>701</v>
      </c>
      <c r="B700" s="5">
        <f t="shared" si="31"/>
        <v>258733.43426620352</v>
      </c>
      <c r="C700" s="5">
        <f t="shared" si="32"/>
        <v>5174.6686853240708</v>
      </c>
      <c r="D700" s="5">
        <f t="shared" si="30"/>
        <v>1552.4006055972211</v>
      </c>
      <c r="E700" s="5" t="s">
        <v>701</v>
      </c>
    </row>
    <row r="701" spans="1:5" x14ac:dyDescent="0.25">
      <c r="A701" s="6" t="s">
        <v>702</v>
      </c>
      <c r="B701" s="5">
        <f t="shared" si="31"/>
        <v>260285.83487180073</v>
      </c>
      <c r="C701" s="5">
        <f t="shared" si="32"/>
        <v>5205.7166974360143</v>
      </c>
      <c r="D701" s="5">
        <f t="shared" si="30"/>
        <v>1561.7150092308043</v>
      </c>
      <c r="E701" s="5" t="s">
        <v>702</v>
      </c>
    </row>
    <row r="702" spans="1:5" x14ac:dyDescent="0.25">
      <c r="A702" s="6" t="s">
        <v>703</v>
      </c>
      <c r="B702" s="5">
        <f t="shared" si="31"/>
        <v>261847.54988103153</v>
      </c>
      <c r="C702" s="5">
        <f t="shared" si="32"/>
        <v>5236.9509976206309</v>
      </c>
      <c r="D702" s="5">
        <f t="shared" si="30"/>
        <v>1571.0852992861892</v>
      </c>
      <c r="E702" s="5" t="s">
        <v>703</v>
      </c>
    </row>
    <row r="703" spans="1:5" x14ac:dyDescent="0.25">
      <c r="A703" s="6" t="s">
        <v>704</v>
      </c>
      <c r="B703" s="5">
        <f t="shared" si="31"/>
        <v>263418.63518031774</v>
      </c>
      <c r="C703" s="5">
        <f t="shared" si="32"/>
        <v>5268.3727036063547</v>
      </c>
      <c r="D703" s="5">
        <f t="shared" si="30"/>
        <v>1580.5118110819064</v>
      </c>
      <c r="E703" s="5" t="s">
        <v>704</v>
      </c>
    </row>
    <row r="704" spans="1:5" x14ac:dyDescent="0.25">
      <c r="A704" s="6" t="s">
        <v>705</v>
      </c>
      <c r="B704" s="5">
        <f t="shared" si="31"/>
        <v>264999.14699139964</v>
      </c>
      <c r="C704" s="5">
        <f t="shared" si="32"/>
        <v>5299.9829398279926</v>
      </c>
      <c r="D704" s="5">
        <f t="shared" si="30"/>
        <v>1589.9948819483977</v>
      </c>
      <c r="E704" s="5" t="s">
        <v>705</v>
      </c>
    </row>
    <row r="705" spans="1:5" x14ac:dyDescent="0.25">
      <c r="A705" s="6" t="s">
        <v>706</v>
      </c>
      <c r="B705" s="5">
        <f t="shared" si="31"/>
        <v>266589.14187334804</v>
      </c>
      <c r="C705" s="5">
        <f t="shared" si="32"/>
        <v>5331.7828374669607</v>
      </c>
      <c r="D705" s="5">
        <f t="shared" si="30"/>
        <v>1599.5348512400881</v>
      </c>
      <c r="E705" s="5" t="s">
        <v>706</v>
      </c>
    </row>
    <row r="706" spans="1:5" x14ac:dyDescent="0.25">
      <c r="A706" s="6" t="s">
        <v>707</v>
      </c>
      <c r="B706" s="5">
        <f t="shared" si="31"/>
        <v>268188.67672458815</v>
      </c>
      <c r="C706" s="5">
        <f t="shared" si="32"/>
        <v>5363.7735344917628</v>
      </c>
      <c r="D706" s="5">
        <f t="shared" si="30"/>
        <v>1609.1320603475287</v>
      </c>
      <c r="E706" s="5" t="s">
        <v>707</v>
      </c>
    </row>
    <row r="707" spans="1:5" x14ac:dyDescent="0.25">
      <c r="A707" s="6" t="s">
        <v>708</v>
      </c>
      <c r="B707" s="5">
        <f t="shared" si="31"/>
        <v>269797.80878493568</v>
      </c>
      <c r="C707" s="5">
        <f t="shared" si="32"/>
        <v>5395.9561756987141</v>
      </c>
      <c r="D707" s="5">
        <f t="shared" si="30"/>
        <v>1618.7868527096141</v>
      </c>
      <c r="E707" s="5" t="s">
        <v>708</v>
      </c>
    </row>
    <row r="708" spans="1:5" x14ac:dyDescent="0.25">
      <c r="A708" s="6" t="s">
        <v>709</v>
      </c>
      <c r="B708" s="5">
        <f t="shared" si="31"/>
        <v>271416.59563764528</v>
      </c>
      <c r="C708" s="5">
        <f t="shared" si="32"/>
        <v>5428.3319127529057</v>
      </c>
      <c r="D708" s="5">
        <f t="shared" si="30"/>
        <v>1628.4995738258717</v>
      </c>
      <c r="E708" s="5" t="s">
        <v>709</v>
      </c>
    </row>
    <row r="709" spans="1:5" x14ac:dyDescent="0.25">
      <c r="A709" s="6" t="s">
        <v>710</v>
      </c>
      <c r="B709" s="5">
        <f t="shared" si="31"/>
        <v>273045.09521147114</v>
      </c>
      <c r="C709" s="5">
        <f t="shared" si="32"/>
        <v>5460.9019042294231</v>
      </c>
      <c r="D709" s="5">
        <f t="shared" si="30"/>
        <v>1638.2705712688269</v>
      </c>
      <c r="E709" s="5" t="s">
        <v>710</v>
      </c>
    </row>
    <row r="710" spans="1:5" x14ac:dyDescent="0.25">
      <c r="A710" s="6" t="s">
        <v>711</v>
      </c>
      <c r="B710" s="5">
        <f t="shared" si="31"/>
        <v>274683.36578273994</v>
      </c>
      <c r="C710" s="5">
        <f t="shared" si="32"/>
        <v>5493.6673156547986</v>
      </c>
      <c r="D710" s="5">
        <f t="shared" ref="D710:D773" si="33">C710*$B$2*$E$2</f>
        <v>1648.1001946964395</v>
      </c>
      <c r="E710" s="5" t="s">
        <v>711</v>
      </c>
    </row>
    <row r="711" spans="1:5" x14ac:dyDescent="0.25">
      <c r="A711" s="6" t="s">
        <v>712</v>
      </c>
      <c r="B711" s="5">
        <f t="shared" si="31"/>
        <v>276331.4659774364</v>
      </c>
      <c r="C711" s="5">
        <f t="shared" si="32"/>
        <v>5526.6293195487278</v>
      </c>
      <c r="D711" s="5">
        <f t="shared" si="33"/>
        <v>1657.9887958646184</v>
      </c>
      <c r="E711" s="5" t="s">
        <v>712</v>
      </c>
    </row>
    <row r="712" spans="1:5" x14ac:dyDescent="0.25">
      <c r="A712" s="6" t="s">
        <v>713</v>
      </c>
      <c r="B712" s="5">
        <f t="shared" si="31"/>
        <v>277989.45477330103</v>
      </c>
      <c r="C712" s="5">
        <f t="shared" si="32"/>
        <v>5559.7890954660206</v>
      </c>
      <c r="D712" s="5">
        <f t="shared" si="33"/>
        <v>1667.9367286398062</v>
      </c>
      <c r="E712" s="5" t="s">
        <v>713</v>
      </c>
    </row>
    <row r="713" spans="1:5" x14ac:dyDescent="0.25">
      <c r="A713" s="6" t="s">
        <v>714</v>
      </c>
      <c r="B713" s="5">
        <f t="shared" ref="B713:B776" si="34">B712+D712</f>
        <v>279657.39150194085</v>
      </c>
      <c r="C713" s="5">
        <f t="shared" ref="C713:C776" si="35">B713*$C$2</f>
        <v>5593.1478300388171</v>
      </c>
      <c r="D713" s="5">
        <f t="shared" si="33"/>
        <v>1677.944349011645</v>
      </c>
      <c r="E713" s="5" t="s">
        <v>714</v>
      </c>
    </row>
    <row r="714" spans="1:5" x14ac:dyDescent="0.25">
      <c r="A714" s="6" t="s">
        <v>715</v>
      </c>
      <c r="B714" s="5">
        <f t="shared" si="34"/>
        <v>281335.33585095248</v>
      </c>
      <c r="C714" s="5">
        <f t="shared" si="35"/>
        <v>5626.7067170190494</v>
      </c>
      <c r="D714" s="5">
        <f t="shared" si="33"/>
        <v>1688.0120151057147</v>
      </c>
      <c r="E714" s="5" t="s">
        <v>715</v>
      </c>
    </row>
    <row r="715" spans="1:5" x14ac:dyDescent="0.25">
      <c r="A715" s="6" t="s">
        <v>716</v>
      </c>
      <c r="B715" s="5">
        <f t="shared" si="34"/>
        <v>283023.34786605817</v>
      </c>
      <c r="C715" s="5">
        <f t="shared" si="35"/>
        <v>5660.466957321164</v>
      </c>
      <c r="D715" s="5">
        <f t="shared" si="33"/>
        <v>1698.1400871963492</v>
      </c>
      <c r="E715" s="5" t="s">
        <v>716</v>
      </c>
    </row>
    <row r="716" spans="1:5" x14ac:dyDescent="0.25">
      <c r="A716" s="6" t="s">
        <v>717</v>
      </c>
      <c r="B716" s="5">
        <f t="shared" si="34"/>
        <v>284721.48795325455</v>
      </c>
      <c r="C716" s="5">
        <f t="shared" si="35"/>
        <v>5694.4297590650913</v>
      </c>
      <c r="D716" s="5">
        <f t="shared" si="33"/>
        <v>1708.3289277195274</v>
      </c>
      <c r="E716" s="5" t="s">
        <v>717</v>
      </c>
    </row>
    <row r="717" spans="1:5" x14ac:dyDescent="0.25">
      <c r="A717" s="6" t="s">
        <v>718</v>
      </c>
      <c r="B717" s="5">
        <f t="shared" si="34"/>
        <v>286429.81688097405</v>
      </c>
      <c r="C717" s="5">
        <f t="shared" si="35"/>
        <v>5728.5963376194813</v>
      </c>
      <c r="D717" s="5">
        <f t="shared" si="33"/>
        <v>1718.5789012858443</v>
      </c>
      <c r="E717" s="5" t="s">
        <v>718</v>
      </c>
    </row>
    <row r="718" spans="1:5" x14ac:dyDescent="0.25">
      <c r="A718" s="6" t="s">
        <v>719</v>
      </c>
      <c r="B718" s="5">
        <f t="shared" si="34"/>
        <v>288148.39578225987</v>
      </c>
      <c r="C718" s="5">
        <f t="shared" si="35"/>
        <v>5762.9679156451975</v>
      </c>
      <c r="D718" s="5">
        <f t="shared" si="33"/>
        <v>1728.8903746935591</v>
      </c>
      <c r="E718" s="5" t="s">
        <v>719</v>
      </c>
    </row>
    <row r="719" spans="1:5" x14ac:dyDescent="0.25">
      <c r="A719" s="6" t="s">
        <v>720</v>
      </c>
      <c r="B719" s="5">
        <f t="shared" si="34"/>
        <v>289877.28615695343</v>
      </c>
      <c r="C719" s="5">
        <f t="shared" si="35"/>
        <v>5797.5457231390683</v>
      </c>
      <c r="D719" s="5">
        <f t="shared" si="33"/>
        <v>1739.2637169417205</v>
      </c>
      <c r="E719" s="5" t="s">
        <v>720</v>
      </c>
    </row>
    <row r="720" spans="1:5" x14ac:dyDescent="0.25">
      <c r="A720" s="6" t="s">
        <v>721</v>
      </c>
      <c r="B720" s="5">
        <f t="shared" si="34"/>
        <v>291616.54987389513</v>
      </c>
      <c r="C720" s="5">
        <f t="shared" si="35"/>
        <v>5832.3309974779031</v>
      </c>
      <c r="D720" s="5">
        <f t="shared" si="33"/>
        <v>1749.6992992433709</v>
      </c>
      <c r="E720" s="5" t="s">
        <v>721</v>
      </c>
    </row>
    <row r="721" spans="1:5" x14ac:dyDescent="0.25">
      <c r="A721" s="6" t="s">
        <v>722</v>
      </c>
      <c r="B721" s="5">
        <f t="shared" si="34"/>
        <v>293366.24917313852</v>
      </c>
      <c r="C721" s="5">
        <f t="shared" si="35"/>
        <v>5867.3249834627704</v>
      </c>
      <c r="D721" s="5">
        <f t="shared" si="33"/>
        <v>1760.197495038831</v>
      </c>
      <c r="E721" s="5" t="s">
        <v>722</v>
      </c>
    </row>
    <row r="722" spans="1:5" x14ac:dyDescent="0.25">
      <c r="A722" s="6" t="s">
        <v>723</v>
      </c>
      <c r="B722" s="5">
        <f t="shared" si="34"/>
        <v>295126.44666817738</v>
      </c>
      <c r="C722" s="5">
        <f t="shared" si="35"/>
        <v>5902.5289333635474</v>
      </c>
      <c r="D722" s="5">
        <f t="shared" si="33"/>
        <v>1770.7586800090642</v>
      </c>
      <c r="E722" s="5" t="s">
        <v>723</v>
      </c>
    </row>
    <row r="723" spans="1:5" x14ac:dyDescent="0.25">
      <c r="A723" s="6" t="s">
        <v>724</v>
      </c>
      <c r="B723" s="5">
        <f t="shared" si="34"/>
        <v>296897.20534818643</v>
      </c>
      <c r="C723" s="5">
        <f t="shared" si="35"/>
        <v>5937.9441069637287</v>
      </c>
      <c r="D723" s="5">
        <f t="shared" si="33"/>
        <v>1781.3832320891186</v>
      </c>
      <c r="E723" s="5" t="s">
        <v>724</v>
      </c>
    </row>
    <row r="724" spans="1:5" x14ac:dyDescent="0.25">
      <c r="A724" s="6" t="s">
        <v>725</v>
      </c>
      <c r="B724" s="5">
        <f t="shared" si="34"/>
        <v>298678.58858027554</v>
      </c>
      <c r="C724" s="5">
        <f t="shared" si="35"/>
        <v>5973.5717716055105</v>
      </c>
      <c r="D724" s="5">
        <f t="shared" si="33"/>
        <v>1792.0715314816532</v>
      </c>
      <c r="E724" s="5" t="s">
        <v>725</v>
      </c>
    </row>
    <row r="725" spans="1:5" x14ac:dyDescent="0.25">
      <c r="A725" s="6" t="s">
        <v>726</v>
      </c>
      <c r="B725" s="5">
        <f t="shared" si="34"/>
        <v>300470.66011175717</v>
      </c>
      <c r="C725" s="5">
        <f t="shared" si="35"/>
        <v>6009.4132022351432</v>
      </c>
      <c r="D725" s="5">
        <f t="shared" si="33"/>
        <v>1802.8239606705429</v>
      </c>
      <c r="E725" s="5" t="s">
        <v>726</v>
      </c>
    </row>
    <row r="726" spans="1:5" x14ac:dyDescent="0.25">
      <c r="A726" s="6" t="s">
        <v>727</v>
      </c>
      <c r="B726" s="5">
        <f t="shared" si="34"/>
        <v>302273.48407242773</v>
      </c>
      <c r="C726" s="5">
        <f t="shared" si="35"/>
        <v>6045.4696814485551</v>
      </c>
      <c r="D726" s="5">
        <f t="shared" si="33"/>
        <v>1813.6409044345664</v>
      </c>
      <c r="E726" s="5" t="s">
        <v>727</v>
      </c>
    </row>
    <row r="727" spans="1:5" x14ac:dyDescent="0.25">
      <c r="A727" s="6" t="s">
        <v>728</v>
      </c>
      <c r="B727" s="5">
        <f t="shared" si="34"/>
        <v>304087.12497686228</v>
      </c>
      <c r="C727" s="5">
        <f t="shared" si="35"/>
        <v>6081.7424995372457</v>
      </c>
      <c r="D727" s="5">
        <f t="shared" si="33"/>
        <v>1824.5227498611737</v>
      </c>
      <c r="E727" s="5" t="s">
        <v>728</v>
      </c>
    </row>
    <row r="728" spans="1:5" x14ac:dyDescent="0.25">
      <c r="A728" s="6" t="s">
        <v>729</v>
      </c>
      <c r="B728" s="5">
        <f t="shared" si="34"/>
        <v>305911.64772672346</v>
      </c>
      <c r="C728" s="5">
        <f t="shared" si="35"/>
        <v>6118.2329545344692</v>
      </c>
      <c r="D728" s="5">
        <f t="shared" si="33"/>
        <v>1835.4698863603408</v>
      </c>
      <c r="E728" s="5" t="s">
        <v>729</v>
      </c>
    </row>
    <row r="729" spans="1:5" x14ac:dyDescent="0.25">
      <c r="A729" s="6" t="s">
        <v>730</v>
      </c>
      <c r="B729" s="5">
        <f t="shared" si="34"/>
        <v>307747.1176130838</v>
      </c>
      <c r="C729" s="5">
        <f t="shared" si="35"/>
        <v>6154.9423522616762</v>
      </c>
      <c r="D729" s="5">
        <f t="shared" si="33"/>
        <v>1846.4827056785027</v>
      </c>
      <c r="E729" s="5" t="s">
        <v>730</v>
      </c>
    </row>
    <row r="730" spans="1:5" x14ac:dyDescent="0.25">
      <c r="A730" s="6" t="s">
        <v>731</v>
      </c>
      <c r="B730" s="5">
        <f t="shared" si="34"/>
        <v>309593.6003187623</v>
      </c>
      <c r="C730" s="5">
        <f t="shared" si="35"/>
        <v>6191.8720063752462</v>
      </c>
      <c r="D730" s="5">
        <f t="shared" si="33"/>
        <v>1857.5616019125737</v>
      </c>
      <c r="E730" s="5" t="s">
        <v>731</v>
      </c>
    </row>
    <row r="731" spans="1:5" x14ac:dyDescent="0.25">
      <c r="A731" s="6" t="s">
        <v>732</v>
      </c>
      <c r="B731" s="5">
        <f t="shared" si="34"/>
        <v>311451.16192067484</v>
      </c>
      <c r="C731" s="5">
        <f t="shared" si="35"/>
        <v>6229.023238413497</v>
      </c>
      <c r="D731" s="5">
        <f t="shared" si="33"/>
        <v>1868.7069715240491</v>
      </c>
      <c r="E731" s="5" t="s">
        <v>732</v>
      </c>
    </row>
    <row r="732" spans="1:5" x14ac:dyDescent="0.25">
      <c r="A732" s="6" t="s">
        <v>733</v>
      </c>
      <c r="B732" s="5">
        <f t="shared" si="34"/>
        <v>313319.86889219889</v>
      </c>
      <c r="C732" s="5">
        <f t="shared" si="35"/>
        <v>6266.3973778439777</v>
      </c>
      <c r="D732" s="5">
        <f t="shared" si="33"/>
        <v>1879.9192133531933</v>
      </c>
      <c r="E732" s="5" t="s">
        <v>733</v>
      </c>
    </row>
    <row r="733" spans="1:5" x14ac:dyDescent="0.25">
      <c r="A733" s="6" t="s">
        <v>734</v>
      </c>
      <c r="B733" s="5">
        <f t="shared" si="34"/>
        <v>315199.78810555208</v>
      </c>
      <c r="C733" s="5">
        <f t="shared" si="35"/>
        <v>6303.9957621110416</v>
      </c>
      <c r="D733" s="5">
        <f t="shared" si="33"/>
        <v>1891.1987286333124</v>
      </c>
      <c r="E733" s="5" t="s">
        <v>734</v>
      </c>
    </row>
    <row r="734" spans="1:5" x14ac:dyDescent="0.25">
      <c r="A734" s="6" t="s">
        <v>735</v>
      </c>
      <c r="B734" s="5">
        <f t="shared" si="34"/>
        <v>317090.98683418537</v>
      </c>
      <c r="C734" s="5">
        <f t="shared" si="35"/>
        <v>6341.8197366837076</v>
      </c>
      <c r="D734" s="5">
        <f t="shared" si="33"/>
        <v>1902.5459210051122</v>
      </c>
      <c r="E734" s="5" t="s">
        <v>735</v>
      </c>
    </row>
    <row r="735" spans="1:5" x14ac:dyDescent="0.25">
      <c r="A735" s="6" t="s">
        <v>736</v>
      </c>
      <c r="B735" s="5">
        <f t="shared" si="34"/>
        <v>318993.53275519051</v>
      </c>
      <c r="C735" s="5">
        <f t="shared" si="35"/>
        <v>6379.8706551038103</v>
      </c>
      <c r="D735" s="5">
        <f t="shared" si="33"/>
        <v>1913.9611965311431</v>
      </c>
      <c r="E735" s="5" t="s">
        <v>736</v>
      </c>
    </row>
    <row r="736" spans="1:5" x14ac:dyDescent="0.25">
      <c r="A736" s="6" t="s">
        <v>737</v>
      </c>
      <c r="B736" s="5">
        <f t="shared" si="34"/>
        <v>320907.49395172164</v>
      </c>
      <c r="C736" s="5">
        <f t="shared" si="35"/>
        <v>6418.1498790344331</v>
      </c>
      <c r="D736" s="5">
        <f t="shared" si="33"/>
        <v>1925.4449637103298</v>
      </c>
      <c r="E736" s="5" t="s">
        <v>737</v>
      </c>
    </row>
    <row r="737" spans="1:5" x14ac:dyDescent="0.25">
      <c r="A737" s="6" t="s">
        <v>738</v>
      </c>
      <c r="B737" s="5">
        <f t="shared" si="34"/>
        <v>322832.93891543197</v>
      </c>
      <c r="C737" s="5">
        <f t="shared" si="35"/>
        <v>6456.6587783086397</v>
      </c>
      <c r="D737" s="5">
        <f t="shared" si="33"/>
        <v>1936.9976334925918</v>
      </c>
      <c r="E737" s="5" t="s">
        <v>738</v>
      </c>
    </row>
    <row r="738" spans="1:5" x14ac:dyDescent="0.25">
      <c r="A738" s="6" t="s">
        <v>739</v>
      </c>
      <c r="B738" s="5">
        <f t="shared" si="34"/>
        <v>324769.93654892454</v>
      </c>
      <c r="C738" s="5">
        <f t="shared" si="35"/>
        <v>6495.3987309784907</v>
      </c>
      <c r="D738" s="5">
        <f t="shared" si="33"/>
        <v>1948.6196192935472</v>
      </c>
      <c r="E738" s="5" t="s">
        <v>739</v>
      </c>
    </row>
    <row r="739" spans="1:5" x14ac:dyDescent="0.25">
      <c r="A739" s="6" t="s">
        <v>740</v>
      </c>
      <c r="B739" s="5">
        <f t="shared" si="34"/>
        <v>326718.55616821809</v>
      </c>
      <c r="C739" s="5">
        <f t="shared" si="35"/>
        <v>6534.3711233643617</v>
      </c>
      <c r="D739" s="5">
        <f t="shared" si="33"/>
        <v>1960.3113370093083</v>
      </c>
      <c r="E739" s="5" t="s">
        <v>740</v>
      </c>
    </row>
    <row r="740" spans="1:5" x14ac:dyDescent="0.25">
      <c r="A740" s="6" t="s">
        <v>741</v>
      </c>
      <c r="B740" s="5">
        <f t="shared" si="34"/>
        <v>328678.86750522739</v>
      </c>
      <c r="C740" s="5">
        <f t="shared" si="35"/>
        <v>6573.5773501045478</v>
      </c>
      <c r="D740" s="5">
        <f t="shared" si="33"/>
        <v>1972.0732050313643</v>
      </c>
      <c r="E740" s="5" t="s">
        <v>741</v>
      </c>
    </row>
    <row r="741" spans="1:5" x14ac:dyDescent="0.25">
      <c r="A741" s="6" t="s">
        <v>742</v>
      </c>
      <c r="B741" s="5">
        <f t="shared" si="34"/>
        <v>330650.94071025873</v>
      </c>
      <c r="C741" s="5">
        <f t="shared" si="35"/>
        <v>6613.0188142051747</v>
      </c>
      <c r="D741" s="5">
        <f t="shared" si="33"/>
        <v>1983.9056442615524</v>
      </c>
      <c r="E741" s="5" t="s">
        <v>742</v>
      </c>
    </row>
    <row r="742" spans="1:5" x14ac:dyDescent="0.25">
      <c r="A742" s="6" t="s">
        <v>743</v>
      </c>
      <c r="B742" s="5">
        <f t="shared" si="34"/>
        <v>332634.8463545203</v>
      </c>
      <c r="C742" s="5">
        <f t="shared" si="35"/>
        <v>6652.6969270904065</v>
      </c>
      <c r="D742" s="5">
        <f t="shared" si="33"/>
        <v>1995.8090781271219</v>
      </c>
      <c r="E742" s="5" t="s">
        <v>743</v>
      </c>
    </row>
    <row r="743" spans="1:5" x14ac:dyDescent="0.25">
      <c r="A743" s="6" t="s">
        <v>744</v>
      </c>
      <c r="B743" s="5">
        <f t="shared" si="34"/>
        <v>334630.65543264744</v>
      </c>
      <c r="C743" s="5">
        <f t="shared" si="35"/>
        <v>6692.6131086529494</v>
      </c>
      <c r="D743" s="5">
        <f t="shared" si="33"/>
        <v>2007.7839325958848</v>
      </c>
      <c r="E743" s="5" t="s">
        <v>744</v>
      </c>
    </row>
    <row r="744" spans="1:5" x14ac:dyDescent="0.25">
      <c r="A744" s="6" t="s">
        <v>745</v>
      </c>
      <c r="B744" s="5">
        <f t="shared" si="34"/>
        <v>336638.43936524331</v>
      </c>
      <c r="C744" s="5">
        <f t="shared" si="35"/>
        <v>6732.7687873048662</v>
      </c>
      <c r="D744" s="5">
        <f t="shared" si="33"/>
        <v>2019.8306361914597</v>
      </c>
      <c r="E744" s="5" t="s">
        <v>745</v>
      </c>
    </row>
    <row r="745" spans="1:5" x14ac:dyDescent="0.25">
      <c r="A745" s="6" t="s">
        <v>746</v>
      </c>
      <c r="B745" s="5">
        <f t="shared" si="34"/>
        <v>338658.27000143478</v>
      </c>
      <c r="C745" s="5">
        <f t="shared" si="35"/>
        <v>6773.1654000286953</v>
      </c>
      <c r="D745" s="5">
        <f t="shared" si="33"/>
        <v>2031.9496200086085</v>
      </c>
      <c r="E745" s="5" t="s">
        <v>746</v>
      </c>
    </row>
    <row r="746" spans="1:5" x14ac:dyDescent="0.25">
      <c r="A746" s="6" t="s">
        <v>747</v>
      </c>
      <c r="B746" s="5">
        <f t="shared" si="34"/>
        <v>340690.21962144336</v>
      </c>
      <c r="C746" s="5">
        <f t="shared" si="35"/>
        <v>6813.8043924288677</v>
      </c>
      <c r="D746" s="5">
        <f t="shared" si="33"/>
        <v>2044.1413177286602</v>
      </c>
      <c r="E746" s="5" t="s">
        <v>747</v>
      </c>
    </row>
    <row r="747" spans="1:5" x14ac:dyDescent="0.25">
      <c r="A747" s="6" t="s">
        <v>748</v>
      </c>
      <c r="B747" s="5">
        <f t="shared" si="34"/>
        <v>342734.36093917204</v>
      </c>
      <c r="C747" s="5">
        <f t="shared" si="35"/>
        <v>6854.6872187834406</v>
      </c>
      <c r="D747" s="5">
        <f t="shared" si="33"/>
        <v>2056.4061656350323</v>
      </c>
      <c r="E747" s="5" t="s">
        <v>748</v>
      </c>
    </row>
    <row r="748" spans="1:5" x14ac:dyDescent="0.25">
      <c r="A748" s="6" t="s">
        <v>749</v>
      </c>
      <c r="B748" s="5">
        <f t="shared" si="34"/>
        <v>344790.76710480708</v>
      </c>
      <c r="C748" s="5">
        <f t="shared" si="35"/>
        <v>6895.8153420961416</v>
      </c>
      <c r="D748" s="5">
        <f t="shared" si="33"/>
        <v>2068.7446026288426</v>
      </c>
      <c r="E748" s="5" t="s">
        <v>749</v>
      </c>
    </row>
    <row r="749" spans="1:5" x14ac:dyDescent="0.25">
      <c r="A749" s="6" t="s">
        <v>750</v>
      </c>
      <c r="B749" s="5">
        <f t="shared" si="34"/>
        <v>346859.51170743594</v>
      </c>
      <c r="C749" s="5">
        <f t="shared" si="35"/>
        <v>6937.1902341487194</v>
      </c>
      <c r="D749" s="5">
        <f t="shared" si="33"/>
        <v>2081.1570702446156</v>
      </c>
      <c r="E749" s="5" t="s">
        <v>750</v>
      </c>
    </row>
    <row r="750" spans="1:5" x14ac:dyDescent="0.25">
      <c r="A750" s="6" t="s">
        <v>751</v>
      </c>
      <c r="B750" s="5">
        <f t="shared" si="34"/>
        <v>348940.66877768055</v>
      </c>
      <c r="C750" s="5">
        <f t="shared" si="35"/>
        <v>6978.813375553611</v>
      </c>
      <c r="D750" s="5">
        <f t="shared" si="33"/>
        <v>2093.6440126660832</v>
      </c>
      <c r="E750" s="5" t="s">
        <v>751</v>
      </c>
    </row>
    <row r="751" spans="1:5" x14ac:dyDescent="0.25">
      <c r="A751" s="6" t="s">
        <v>752</v>
      </c>
      <c r="B751" s="5">
        <f t="shared" si="34"/>
        <v>351034.31279034662</v>
      </c>
      <c r="C751" s="5">
        <f t="shared" si="35"/>
        <v>7020.6862558069324</v>
      </c>
      <c r="D751" s="5">
        <f t="shared" si="33"/>
        <v>2106.2058767420795</v>
      </c>
      <c r="E751" s="5" t="s">
        <v>752</v>
      </c>
    </row>
    <row r="752" spans="1:5" x14ac:dyDescent="0.25">
      <c r="A752" s="6" t="s">
        <v>753</v>
      </c>
      <c r="B752" s="5">
        <f t="shared" si="34"/>
        <v>353140.51866708871</v>
      </c>
      <c r="C752" s="5">
        <f t="shared" si="35"/>
        <v>7062.8103733417738</v>
      </c>
      <c r="D752" s="5">
        <f t="shared" si="33"/>
        <v>2118.8431120025321</v>
      </c>
      <c r="E752" s="5" t="s">
        <v>753</v>
      </c>
    </row>
    <row r="753" spans="1:5" x14ac:dyDescent="0.25">
      <c r="A753" s="6" t="s">
        <v>754</v>
      </c>
      <c r="B753" s="5">
        <f t="shared" si="34"/>
        <v>355259.36177909124</v>
      </c>
      <c r="C753" s="5">
        <f t="shared" si="35"/>
        <v>7105.187235581825</v>
      </c>
      <c r="D753" s="5">
        <f t="shared" si="33"/>
        <v>2131.5561706745475</v>
      </c>
      <c r="E753" s="5" t="s">
        <v>754</v>
      </c>
    </row>
    <row r="754" spans="1:5" x14ac:dyDescent="0.25">
      <c r="A754" s="6" t="s">
        <v>755</v>
      </c>
      <c r="B754" s="5">
        <f t="shared" si="34"/>
        <v>357390.9179497658</v>
      </c>
      <c r="C754" s="5">
        <f t="shared" si="35"/>
        <v>7147.818358995316</v>
      </c>
      <c r="D754" s="5">
        <f t="shared" si="33"/>
        <v>2144.3455076985947</v>
      </c>
      <c r="E754" s="5" t="s">
        <v>755</v>
      </c>
    </row>
    <row r="755" spans="1:5" x14ac:dyDescent="0.25">
      <c r="A755" s="6" t="s">
        <v>756</v>
      </c>
      <c r="B755" s="5">
        <f t="shared" si="34"/>
        <v>359535.2634574644</v>
      </c>
      <c r="C755" s="5">
        <f t="shared" si="35"/>
        <v>7190.7052691492881</v>
      </c>
      <c r="D755" s="5">
        <f t="shared" si="33"/>
        <v>2157.2115807447863</v>
      </c>
      <c r="E755" s="5" t="s">
        <v>756</v>
      </c>
    </row>
    <row r="756" spans="1:5" x14ac:dyDescent="0.25">
      <c r="A756" s="6" t="s">
        <v>757</v>
      </c>
      <c r="B756" s="5">
        <f t="shared" si="34"/>
        <v>361692.47503820917</v>
      </c>
      <c r="C756" s="5">
        <f t="shared" si="35"/>
        <v>7233.8495007641832</v>
      </c>
      <c r="D756" s="5">
        <f t="shared" si="33"/>
        <v>2170.1548502292549</v>
      </c>
      <c r="E756" s="5" t="s">
        <v>757</v>
      </c>
    </row>
    <row r="757" spans="1:5" x14ac:dyDescent="0.25">
      <c r="A757" s="6" t="s">
        <v>758</v>
      </c>
      <c r="B757" s="5">
        <f t="shared" si="34"/>
        <v>363862.62988843845</v>
      </c>
      <c r="C757" s="5">
        <f t="shared" si="35"/>
        <v>7277.2525977687692</v>
      </c>
      <c r="D757" s="5">
        <f t="shared" si="33"/>
        <v>2183.1757793306306</v>
      </c>
      <c r="E757" s="5" t="s">
        <v>758</v>
      </c>
    </row>
    <row r="758" spans="1:5" x14ac:dyDescent="0.25">
      <c r="A758" s="6" t="s">
        <v>759</v>
      </c>
      <c r="B758" s="5">
        <f t="shared" si="34"/>
        <v>366045.80566776905</v>
      </c>
      <c r="C758" s="5">
        <f t="shared" si="35"/>
        <v>7320.9161133553807</v>
      </c>
      <c r="D758" s="5">
        <f t="shared" si="33"/>
        <v>2196.2748340066141</v>
      </c>
      <c r="E758" s="5" t="s">
        <v>759</v>
      </c>
    </row>
    <row r="759" spans="1:5" x14ac:dyDescent="0.25">
      <c r="A759" s="6" t="s">
        <v>760</v>
      </c>
      <c r="B759" s="5">
        <f t="shared" si="34"/>
        <v>368242.08050177566</v>
      </c>
      <c r="C759" s="5">
        <f t="shared" si="35"/>
        <v>7364.8416100355134</v>
      </c>
      <c r="D759" s="5">
        <f t="shared" si="33"/>
        <v>2209.4524830106539</v>
      </c>
      <c r="E759" s="5" t="s">
        <v>760</v>
      </c>
    </row>
    <row r="760" spans="1:5" x14ac:dyDescent="0.25">
      <c r="A760" s="6" t="s">
        <v>761</v>
      </c>
      <c r="B760" s="5">
        <f t="shared" si="34"/>
        <v>370451.53298478632</v>
      </c>
      <c r="C760" s="5">
        <f t="shared" si="35"/>
        <v>7409.0306596957262</v>
      </c>
      <c r="D760" s="5">
        <f t="shared" si="33"/>
        <v>2222.7091979087177</v>
      </c>
      <c r="E760" s="5" t="s">
        <v>761</v>
      </c>
    </row>
    <row r="761" spans="1:5" x14ac:dyDescent="0.25">
      <c r="A761" s="6" t="s">
        <v>762</v>
      </c>
      <c r="B761" s="5">
        <f t="shared" si="34"/>
        <v>372674.24218269502</v>
      </c>
      <c r="C761" s="5">
        <f t="shared" si="35"/>
        <v>7453.4848436539005</v>
      </c>
      <c r="D761" s="5">
        <f t="shared" si="33"/>
        <v>2236.0454530961701</v>
      </c>
      <c r="E761" s="5" t="s">
        <v>762</v>
      </c>
    </row>
    <row r="762" spans="1:5" x14ac:dyDescent="0.25">
      <c r="A762" s="6" t="s">
        <v>763</v>
      </c>
      <c r="B762" s="5">
        <f t="shared" si="34"/>
        <v>374910.28763579117</v>
      </c>
      <c r="C762" s="5">
        <f t="shared" si="35"/>
        <v>7498.205752715824</v>
      </c>
      <c r="D762" s="5">
        <f t="shared" si="33"/>
        <v>2249.4617258147473</v>
      </c>
      <c r="E762" s="5" t="s">
        <v>763</v>
      </c>
    </row>
    <row r="763" spans="1:5" x14ac:dyDescent="0.25">
      <c r="A763" s="6" t="s">
        <v>764</v>
      </c>
      <c r="B763" s="5">
        <f t="shared" si="34"/>
        <v>377159.74936160591</v>
      </c>
      <c r="C763" s="5">
        <f t="shared" si="35"/>
        <v>7543.1949872321184</v>
      </c>
      <c r="D763" s="5">
        <f t="shared" si="33"/>
        <v>2262.9584961696355</v>
      </c>
      <c r="E763" s="5" t="s">
        <v>764</v>
      </c>
    </row>
    <row r="764" spans="1:5" x14ac:dyDescent="0.25">
      <c r="A764" s="6" t="s">
        <v>765</v>
      </c>
      <c r="B764" s="5">
        <f t="shared" si="34"/>
        <v>379422.70785777556</v>
      </c>
      <c r="C764" s="5">
        <f t="shared" si="35"/>
        <v>7588.454157155511</v>
      </c>
      <c r="D764" s="5">
        <f t="shared" si="33"/>
        <v>2276.5362471466533</v>
      </c>
      <c r="E764" s="5" t="s">
        <v>765</v>
      </c>
    </row>
    <row r="765" spans="1:5" x14ac:dyDescent="0.25">
      <c r="A765" s="6" t="s">
        <v>766</v>
      </c>
      <c r="B765" s="5">
        <f t="shared" si="34"/>
        <v>381699.24410492223</v>
      </c>
      <c r="C765" s="5">
        <f t="shared" si="35"/>
        <v>7633.9848820984444</v>
      </c>
      <c r="D765" s="5">
        <f t="shared" si="33"/>
        <v>2290.195464629533</v>
      </c>
      <c r="E765" s="5" t="s">
        <v>766</v>
      </c>
    </row>
    <row r="766" spans="1:5" x14ac:dyDescent="0.25">
      <c r="A766" s="6" t="s">
        <v>767</v>
      </c>
      <c r="B766" s="5">
        <f t="shared" si="34"/>
        <v>383989.43956955173</v>
      </c>
      <c r="C766" s="5">
        <f t="shared" si="35"/>
        <v>7679.7887913910345</v>
      </c>
      <c r="D766" s="5">
        <f t="shared" si="33"/>
        <v>2303.9366374173101</v>
      </c>
      <c r="E766" s="5" t="s">
        <v>767</v>
      </c>
    </row>
    <row r="767" spans="1:5" x14ac:dyDescent="0.25">
      <c r="A767" s="6" t="s">
        <v>768</v>
      </c>
      <c r="B767" s="5">
        <f t="shared" si="34"/>
        <v>386293.37620696903</v>
      </c>
      <c r="C767" s="5">
        <f t="shared" si="35"/>
        <v>7725.8675241393803</v>
      </c>
      <c r="D767" s="5">
        <f t="shared" si="33"/>
        <v>2317.7602572418141</v>
      </c>
      <c r="E767" s="5" t="s">
        <v>768</v>
      </c>
    </row>
    <row r="768" spans="1:5" x14ac:dyDescent="0.25">
      <c r="A768" s="6" t="s">
        <v>769</v>
      </c>
      <c r="B768" s="5">
        <f t="shared" si="34"/>
        <v>388611.13646421087</v>
      </c>
      <c r="C768" s="5">
        <f t="shared" si="35"/>
        <v>7772.2227292842172</v>
      </c>
      <c r="D768" s="5">
        <f t="shared" si="33"/>
        <v>2331.6668187852651</v>
      </c>
      <c r="E768" s="5" t="s">
        <v>769</v>
      </c>
    </row>
    <row r="769" spans="1:5" x14ac:dyDescent="0.25">
      <c r="A769" s="6" t="s">
        <v>770</v>
      </c>
      <c r="B769" s="5">
        <f t="shared" si="34"/>
        <v>390942.80328299612</v>
      </c>
      <c r="C769" s="5">
        <f t="shared" si="35"/>
        <v>7818.856065659922</v>
      </c>
      <c r="D769" s="5">
        <f t="shared" si="33"/>
        <v>2345.6568196979765</v>
      </c>
      <c r="E769" s="5" t="s">
        <v>770</v>
      </c>
    </row>
    <row r="770" spans="1:5" x14ac:dyDescent="0.25">
      <c r="A770" s="6" t="s">
        <v>771</v>
      </c>
      <c r="B770" s="5">
        <f t="shared" si="34"/>
        <v>393288.46010269411</v>
      </c>
      <c r="C770" s="5">
        <f t="shared" si="35"/>
        <v>7865.7692020538825</v>
      </c>
      <c r="D770" s="5">
        <f t="shared" si="33"/>
        <v>2359.7307606161648</v>
      </c>
      <c r="E770" s="5" t="s">
        <v>771</v>
      </c>
    </row>
    <row r="771" spans="1:5" x14ac:dyDescent="0.25">
      <c r="A771" s="6" t="s">
        <v>772</v>
      </c>
      <c r="B771" s="5">
        <f t="shared" si="34"/>
        <v>395648.1908633103</v>
      </c>
      <c r="C771" s="5">
        <f t="shared" si="35"/>
        <v>7912.9638172662062</v>
      </c>
      <c r="D771" s="5">
        <f t="shared" si="33"/>
        <v>2373.8891451798618</v>
      </c>
      <c r="E771" s="5" t="s">
        <v>772</v>
      </c>
    </row>
    <row r="772" spans="1:5" x14ac:dyDescent="0.25">
      <c r="A772" s="6" t="s">
        <v>773</v>
      </c>
      <c r="B772" s="5">
        <f t="shared" si="34"/>
        <v>398022.08000849019</v>
      </c>
      <c r="C772" s="5">
        <f t="shared" si="35"/>
        <v>7960.4416001698037</v>
      </c>
      <c r="D772" s="5">
        <f t="shared" si="33"/>
        <v>2388.132480050941</v>
      </c>
      <c r="E772" s="5" t="s">
        <v>773</v>
      </c>
    </row>
    <row r="773" spans="1:5" x14ac:dyDescent="0.25">
      <c r="A773" s="6" t="s">
        <v>774</v>
      </c>
      <c r="B773" s="5">
        <f t="shared" si="34"/>
        <v>400410.21248854115</v>
      </c>
      <c r="C773" s="5">
        <f t="shared" si="35"/>
        <v>8008.2042497708235</v>
      </c>
      <c r="D773" s="5">
        <f t="shared" si="33"/>
        <v>2402.4612749312469</v>
      </c>
      <c r="E773" s="5" t="s">
        <v>774</v>
      </c>
    </row>
    <row r="774" spans="1:5" x14ac:dyDescent="0.25">
      <c r="A774" s="6" t="s">
        <v>775</v>
      </c>
      <c r="B774" s="5">
        <f t="shared" si="34"/>
        <v>402812.67376347241</v>
      </c>
      <c r="C774" s="5">
        <f t="shared" si="35"/>
        <v>8056.2534752694482</v>
      </c>
      <c r="D774" s="5">
        <f t="shared" ref="D774:D837" si="36">C774*$B$2*$E$2</f>
        <v>2416.8760425808346</v>
      </c>
      <c r="E774" s="5" t="s">
        <v>775</v>
      </c>
    </row>
    <row r="775" spans="1:5" x14ac:dyDescent="0.25">
      <c r="A775" s="6" t="s">
        <v>776</v>
      </c>
      <c r="B775" s="5">
        <f t="shared" si="34"/>
        <v>405229.54980605323</v>
      </c>
      <c r="C775" s="5">
        <f t="shared" si="35"/>
        <v>8104.5909961210646</v>
      </c>
      <c r="D775" s="5">
        <f t="shared" si="36"/>
        <v>2431.3772988363194</v>
      </c>
      <c r="E775" s="5" t="s">
        <v>776</v>
      </c>
    </row>
    <row r="776" spans="1:5" x14ac:dyDescent="0.25">
      <c r="A776" s="6" t="s">
        <v>777</v>
      </c>
      <c r="B776" s="5">
        <f t="shared" si="34"/>
        <v>407660.92710488953</v>
      </c>
      <c r="C776" s="5">
        <f t="shared" si="35"/>
        <v>8153.2185420977912</v>
      </c>
      <c r="D776" s="5">
        <f t="shared" si="36"/>
        <v>2445.9655626293375</v>
      </c>
      <c r="E776" s="5" t="s">
        <v>777</v>
      </c>
    </row>
    <row r="777" spans="1:5" x14ac:dyDescent="0.25">
      <c r="A777" s="6" t="s">
        <v>778</v>
      </c>
      <c r="B777" s="5">
        <f t="shared" ref="B777:B840" si="37">B776+D776</f>
        <v>410106.89266751887</v>
      </c>
      <c r="C777" s="5">
        <f t="shared" ref="C777:C840" si="38">B777*$C$2</f>
        <v>8202.1378533503776</v>
      </c>
      <c r="D777" s="5">
        <f t="shared" si="36"/>
        <v>2460.6413560051133</v>
      </c>
      <c r="E777" s="5" t="s">
        <v>778</v>
      </c>
    </row>
    <row r="778" spans="1:5" x14ac:dyDescent="0.25">
      <c r="A778" s="6" t="s">
        <v>779</v>
      </c>
      <c r="B778" s="5">
        <f t="shared" si="37"/>
        <v>412567.53402352397</v>
      </c>
      <c r="C778" s="5">
        <f t="shared" si="38"/>
        <v>8251.3506804704793</v>
      </c>
      <c r="D778" s="5">
        <f t="shared" si="36"/>
        <v>2475.4052041411437</v>
      </c>
      <c r="E778" s="5" t="s">
        <v>779</v>
      </c>
    </row>
    <row r="779" spans="1:5" x14ac:dyDescent="0.25">
      <c r="A779" s="6" t="s">
        <v>780</v>
      </c>
      <c r="B779" s="5">
        <f t="shared" si="37"/>
        <v>415042.93922766513</v>
      </c>
      <c r="C779" s="5">
        <f t="shared" si="38"/>
        <v>8300.858784553302</v>
      </c>
      <c r="D779" s="5">
        <f t="shared" si="36"/>
        <v>2490.2576353659906</v>
      </c>
      <c r="E779" s="5" t="s">
        <v>780</v>
      </c>
    </row>
    <row r="780" spans="1:5" x14ac:dyDescent="0.25">
      <c r="A780" s="6" t="s">
        <v>781</v>
      </c>
      <c r="B780" s="5">
        <f t="shared" si="37"/>
        <v>417533.19686303113</v>
      </c>
      <c r="C780" s="5">
        <f t="shared" si="38"/>
        <v>8350.6639372606223</v>
      </c>
      <c r="D780" s="5">
        <f t="shared" si="36"/>
        <v>2505.1991811781868</v>
      </c>
      <c r="E780" s="5" t="s">
        <v>781</v>
      </c>
    </row>
    <row r="781" spans="1:5" x14ac:dyDescent="0.25">
      <c r="A781" s="6" t="s">
        <v>782</v>
      </c>
      <c r="B781" s="5">
        <f t="shared" si="37"/>
        <v>420038.39604420931</v>
      </c>
      <c r="C781" s="5">
        <f t="shared" si="38"/>
        <v>8400.7679208841855</v>
      </c>
      <c r="D781" s="5">
        <f t="shared" si="36"/>
        <v>2520.2303762652555</v>
      </c>
      <c r="E781" s="5" t="s">
        <v>782</v>
      </c>
    </row>
    <row r="782" spans="1:5" x14ac:dyDescent="0.25">
      <c r="A782" s="6" t="s">
        <v>783</v>
      </c>
      <c r="B782" s="5">
        <f t="shared" si="37"/>
        <v>422558.62642047455</v>
      </c>
      <c r="C782" s="5">
        <f t="shared" si="38"/>
        <v>8451.1725284094919</v>
      </c>
      <c r="D782" s="5">
        <f t="shared" si="36"/>
        <v>2535.3517585228474</v>
      </c>
      <c r="E782" s="5" t="s">
        <v>783</v>
      </c>
    </row>
    <row r="783" spans="1:5" x14ac:dyDescent="0.25">
      <c r="A783" s="6" t="s">
        <v>784</v>
      </c>
      <c r="B783" s="5">
        <f t="shared" si="37"/>
        <v>425093.97817899741</v>
      </c>
      <c r="C783" s="5">
        <f t="shared" si="38"/>
        <v>8501.8795635799488</v>
      </c>
      <c r="D783" s="5">
        <f t="shared" si="36"/>
        <v>2550.5638690739847</v>
      </c>
      <c r="E783" s="5" t="s">
        <v>784</v>
      </c>
    </row>
    <row r="784" spans="1:5" x14ac:dyDescent="0.25">
      <c r="A784" s="6" t="s">
        <v>785</v>
      </c>
      <c r="B784" s="5">
        <f t="shared" si="37"/>
        <v>427644.54204807139</v>
      </c>
      <c r="C784" s="5">
        <f t="shared" si="38"/>
        <v>8552.8908409614287</v>
      </c>
      <c r="D784" s="5">
        <f t="shared" si="36"/>
        <v>2565.8672522884285</v>
      </c>
      <c r="E784" s="5" t="s">
        <v>785</v>
      </c>
    </row>
    <row r="785" spans="1:5" x14ac:dyDescent="0.25">
      <c r="A785" s="6" t="s">
        <v>786</v>
      </c>
      <c r="B785" s="5">
        <f t="shared" si="37"/>
        <v>430210.40930035984</v>
      </c>
      <c r="C785" s="5">
        <f t="shared" si="38"/>
        <v>8604.2081860071976</v>
      </c>
      <c r="D785" s="5">
        <f t="shared" si="36"/>
        <v>2581.2624558021594</v>
      </c>
      <c r="E785" s="5" t="s">
        <v>786</v>
      </c>
    </row>
    <row r="786" spans="1:5" x14ac:dyDescent="0.25">
      <c r="A786" s="6" t="s">
        <v>787</v>
      </c>
      <c r="B786" s="5">
        <f t="shared" si="37"/>
        <v>432791.67175616202</v>
      </c>
      <c r="C786" s="5">
        <f t="shared" si="38"/>
        <v>8655.8334351232406</v>
      </c>
      <c r="D786" s="5">
        <f t="shared" si="36"/>
        <v>2596.7500305369722</v>
      </c>
      <c r="E786" s="5" t="s">
        <v>787</v>
      </c>
    </row>
    <row r="787" spans="1:5" x14ac:dyDescent="0.25">
      <c r="A787" s="6" t="s">
        <v>788</v>
      </c>
      <c r="B787" s="5">
        <f t="shared" si="37"/>
        <v>435388.42178669898</v>
      </c>
      <c r="C787" s="5">
        <f t="shared" si="38"/>
        <v>8707.7684357339804</v>
      </c>
      <c r="D787" s="5">
        <f t="shared" si="36"/>
        <v>2612.330530720194</v>
      </c>
      <c r="E787" s="5" t="s">
        <v>788</v>
      </c>
    </row>
    <row r="788" spans="1:5" x14ac:dyDescent="0.25">
      <c r="A788" s="6" t="s">
        <v>789</v>
      </c>
      <c r="B788" s="5">
        <f t="shared" si="37"/>
        <v>438000.75231741916</v>
      </c>
      <c r="C788" s="5">
        <f t="shared" si="38"/>
        <v>8760.0150463483842</v>
      </c>
      <c r="D788" s="5">
        <f t="shared" si="36"/>
        <v>2628.0045139045151</v>
      </c>
      <c r="E788" s="5" t="s">
        <v>789</v>
      </c>
    </row>
    <row r="789" spans="1:5" x14ac:dyDescent="0.25">
      <c r="A789" s="6" t="s">
        <v>790</v>
      </c>
      <c r="B789" s="5">
        <f t="shared" si="37"/>
        <v>440628.75683132367</v>
      </c>
      <c r="C789" s="5">
        <f t="shared" si="38"/>
        <v>8812.575136626474</v>
      </c>
      <c r="D789" s="5">
        <f t="shared" si="36"/>
        <v>2643.7725409879422</v>
      </c>
      <c r="E789" s="5" t="s">
        <v>790</v>
      </c>
    </row>
    <row r="790" spans="1:5" x14ac:dyDescent="0.25">
      <c r="A790" s="6" t="s">
        <v>791</v>
      </c>
      <c r="B790" s="5">
        <f t="shared" si="37"/>
        <v>443272.5293723116</v>
      </c>
      <c r="C790" s="5">
        <f t="shared" si="38"/>
        <v>8865.450587446232</v>
      </c>
      <c r="D790" s="5">
        <f t="shared" si="36"/>
        <v>2659.6351762338695</v>
      </c>
      <c r="E790" s="5" t="s">
        <v>791</v>
      </c>
    </row>
    <row r="791" spans="1:5" x14ac:dyDescent="0.25">
      <c r="A791" s="6" t="s">
        <v>792</v>
      </c>
      <c r="B791" s="5">
        <f t="shared" si="37"/>
        <v>445932.16454854549</v>
      </c>
      <c r="C791" s="5">
        <f t="shared" si="38"/>
        <v>8918.6432909709092</v>
      </c>
      <c r="D791" s="5">
        <f t="shared" si="36"/>
        <v>2675.5929872912725</v>
      </c>
      <c r="E791" s="5" t="s">
        <v>792</v>
      </c>
    </row>
    <row r="792" spans="1:5" x14ac:dyDescent="0.25">
      <c r="A792" s="6" t="s">
        <v>793</v>
      </c>
      <c r="B792" s="5">
        <f t="shared" si="37"/>
        <v>448607.75753583678</v>
      </c>
      <c r="C792" s="5">
        <f t="shared" si="38"/>
        <v>8972.1551507167351</v>
      </c>
      <c r="D792" s="5">
        <f t="shared" si="36"/>
        <v>2691.6465452150205</v>
      </c>
      <c r="E792" s="5" t="s">
        <v>793</v>
      </c>
    </row>
    <row r="793" spans="1:5" x14ac:dyDescent="0.25">
      <c r="A793" s="6" t="s">
        <v>794</v>
      </c>
      <c r="B793" s="5">
        <f t="shared" si="37"/>
        <v>451299.40408105182</v>
      </c>
      <c r="C793" s="5">
        <f t="shared" si="38"/>
        <v>9025.9880816210371</v>
      </c>
      <c r="D793" s="5">
        <f t="shared" si="36"/>
        <v>2707.796424486311</v>
      </c>
      <c r="E793" s="5" t="s">
        <v>794</v>
      </c>
    </row>
    <row r="794" spans="1:5" x14ac:dyDescent="0.25">
      <c r="A794" s="6" t="s">
        <v>795</v>
      </c>
      <c r="B794" s="5">
        <f t="shared" si="37"/>
        <v>454007.20050553815</v>
      </c>
      <c r="C794" s="5">
        <f t="shared" si="38"/>
        <v>9080.1440101107637</v>
      </c>
      <c r="D794" s="5">
        <f t="shared" si="36"/>
        <v>2724.043203033229</v>
      </c>
      <c r="E794" s="5" t="s">
        <v>795</v>
      </c>
    </row>
    <row r="795" spans="1:5" x14ac:dyDescent="0.25">
      <c r="A795" s="6" t="s">
        <v>796</v>
      </c>
      <c r="B795" s="5">
        <f t="shared" si="37"/>
        <v>456731.24370857136</v>
      </c>
      <c r="C795" s="5">
        <f t="shared" si="38"/>
        <v>9134.624874171428</v>
      </c>
      <c r="D795" s="5">
        <f t="shared" si="36"/>
        <v>2740.3874622514281</v>
      </c>
      <c r="E795" s="5" t="s">
        <v>796</v>
      </c>
    </row>
    <row r="796" spans="1:5" x14ac:dyDescent="0.25">
      <c r="A796" s="6" t="s">
        <v>797</v>
      </c>
      <c r="B796" s="5">
        <f t="shared" si="37"/>
        <v>459471.63117082277</v>
      </c>
      <c r="C796" s="5">
        <f t="shared" si="38"/>
        <v>9189.4326234164564</v>
      </c>
      <c r="D796" s="5">
        <f t="shared" si="36"/>
        <v>2756.8297870249366</v>
      </c>
      <c r="E796" s="5" t="s">
        <v>797</v>
      </c>
    </row>
    <row r="797" spans="1:5" x14ac:dyDescent="0.25">
      <c r="A797" s="6" t="s">
        <v>798</v>
      </c>
      <c r="B797" s="5">
        <f t="shared" si="37"/>
        <v>462228.46095784771</v>
      </c>
      <c r="C797" s="5">
        <f t="shared" si="38"/>
        <v>9244.5692191569542</v>
      </c>
      <c r="D797" s="5">
        <f t="shared" si="36"/>
        <v>2773.3707657470864</v>
      </c>
      <c r="E797" s="5" t="s">
        <v>798</v>
      </c>
    </row>
    <row r="798" spans="1:5" x14ac:dyDescent="0.25">
      <c r="A798" s="6" t="s">
        <v>799</v>
      </c>
      <c r="B798" s="5">
        <f t="shared" si="37"/>
        <v>465001.83172359481</v>
      </c>
      <c r="C798" s="5">
        <f t="shared" si="38"/>
        <v>9300.0366344718968</v>
      </c>
      <c r="D798" s="5">
        <f t="shared" si="36"/>
        <v>2790.0109903415691</v>
      </c>
      <c r="E798" s="5" t="s">
        <v>799</v>
      </c>
    </row>
    <row r="799" spans="1:5" x14ac:dyDescent="0.25">
      <c r="A799" s="6" t="s">
        <v>800</v>
      </c>
      <c r="B799" s="5">
        <f t="shared" si="37"/>
        <v>467791.84271393635</v>
      </c>
      <c r="C799" s="5">
        <f t="shared" si="38"/>
        <v>9355.8368542787266</v>
      </c>
      <c r="D799" s="5">
        <f t="shared" si="36"/>
        <v>2806.7510562836178</v>
      </c>
      <c r="E799" s="5" t="s">
        <v>800</v>
      </c>
    </row>
    <row r="800" spans="1:5" x14ac:dyDescent="0.25">
      <c r="A800" s="6" t="s">
        <v>801</v>
      </c>
      <c r="B800" s="5">
        <f t="shared" si="37"/>
        <v>470598.59377021994</v>
      </c>
      <c r="C800" s="5">
        <f t="shared" si="38"/>
        <v>9411.9718754043988</v>
      </c>
      <c r="D800" s="5">
        <f t="shared" si="36"/>
        <v>2823.5915626213196</v>
      </c>
      <c r="E800" s="5" t="s">
        <v>801</v>
      </c>
    </row>
    <row r="801" spans="1:5" x14ac:dyDescent="0.25">
      <c r="A801" s="6" t="s">
        <v>802</v>
      </c>
      <c r="B801" s="5">
        <f t="shared" si="37"/>
        <v>473422.18533284124</v>
      </c>
      <c r="C801" s="5">
        <f t="shared" si="38"/>
        <v>9468.4437066568244</v>
      </c>
      <c r="D801" s="5">
        <f t="shared" si="36"/>
        <v>2840.5331119970474</v>
      </c>
      <c r="E801" s="5" t="s">
        <v>802</v>
      </c>
    </row>
    <row r="802" spans="1:5" x14ac:dyDescent="0.25">
      <c r="A802" s="6" t="s">
        <v>803</v>
      </c>
      <c r="B802" s="5">
        <f t="shared" si="37"/>
        <v>476262.71844483831</v>
      </c>
      <c r="C802" s="5">
        <f t="shared" si="38"/>
        <v>9525.2543688967671</v>
      </c>
      <c r="D802" s="5">
        <f t="shared" si="36"/>
        <v>2857.5763106690301</v>
      </c>
      <c r="E802" s="5" t="s">
        <v>803</v>
      </c>
    </row>
    <row r="803" spans="1:5" x14ac:dyDescent="0.25">
      <c r="A803" s="6" t="s">
        <v>804</v>
      </c>
      <c r="B803" s="5">
        <f t="shared" si="37"/>
        <v>479120.29475550732</v>
      </c>
      <c r="C803" s="5">
        <f t="shared" si="38"/>
        <v>9582.405895110147</v>
      </c>
      <c r="D803" s="5">
        <f t="shared" si="36"/>
        <v>2874.7217685330438</v>
      </c>
      <c r="E803" s="5" t="s">
        <v>804</v>
      </c>
    </row>
    <row r="804" spans="1:5" x14ac:dyDescent="0.25">
      <c r="A804" s="6" t="s">
        <v>805</v>
      </c>
      <c r="B804" s="5">
        <f t="shared" si="37"/>
        <v>481995.01652404037</v>
      </c>
      <c r="C804" s="5">
        <f t="shared" si="38"/>
        <v>9639.9003304808084</v>
      </c>
      <c r="D804" s="5">
        <f t="shared" si="36"/>
        <v>2891.9700991442423</v>
      </c>
      <c r="E804" s="5" t="s">
        <v>805</v>
      </c>
    </row>
    <row r="805" spans="1:5" x14ac:dyDescent="0.25">
      <c r="A805" s="6" t="s">
        <v>806</v>
      </c>
      <c r="B805" s="5">
        <f t="shared" si="37"/>
        <v>484886.98662318464</v>
      </c>
      <c r="C805" s="5">
        <f t="shared" si="38"/>
        <v>9697.7397324636931</v>
      </c>
      <c r="D805" s="5">
        <f t="shared" si="36"/>
        <v>2909.3219197391077</v>
      </c>
      <c r="E805" s="5" t="s">
        <v>806</v>
      </c>
    </row>
    <row r="806" spans="1:5" x14ac:dyDescent="0.25">
      <c r="A806" s="6" t="s">
        <v>807</v>
      </c>
      <c r="B806" s="5">
        <f t="shared" si="37"/>
        <v>487796.30854292377</v>
      </c>
      <c r="C806" s="5">
        <f t="shared" si="38"/>
        <v>9755.9261708584763</v>
      </c>
      <c r="D806" s="5">
        <f t="shared" si="36"/>
        <v>2926.7778512575428</v>
      </c>
      <c r="E806" s="5" t="s">
        <v>807</v>
      </c>
    </row>
    <row r="807" spans="1:5" x14ac:dyDescent="0.25">
      <c r="A807" s="6" t="s">
        <v>808</v>
      </c>
      <c r="B807" s="5">
        <f t="shared" si="37"/>
        <v>490723.0863941813</v>
      </c>
      <c r="C807" s="5">
        <f t="shared" si="38"/>
        <v>9814.4617278836267</v>
      </c>
      <c r="D807" s="5">
        <f t="shared" si="36"/>
        <v>2944.338518365088</v>
      </c>
      <c r="E807" s="5" t="s">
        <v>808</v>
      </c>
    </row>
    <row r="808" spans="1:5" x14ac:dyDescent="0.25">
      <c r="A808" s="6" t="s">
        <v>809</v>
      </c>
      <c r="B808" s="5">
        <f t="shared" si="37"/>
        <v>493667.42491254641</v>
      </c>
      <c r="C808" s="5">
        <f t="shared" si="38"/>
        <v>9873.348498250929</v>
      </c>
      <c r="D808" s="5">
        <f t="shared" si="36"/>
        <v>2962.0045494752785</v>
      </c>
      <c r="E808" s="5" t="s">
        <v>809</v>
      </c>
    </row>
    <row r="809" spans="1:5" x14ac:dyDescent="0.25">
      <c r="A809" s="6" t="s">
        <v>810</v>
      </c>
      <c r="B809" s="5">
        <f t="shared" si="37"/>
        <v>496629.42946202168</v>
      </c>
      <c r="C809" s="5">
        <f t="shared" si="38"/>
        <v>9932.5885892404331</v>
      </c>
      <c r="D809" s="5">
        <f t="shared" si="36"/>
        <v>2979.7765767721298</v>
      </c>
      <c r="E809" s="5" t="s">
        <v>810</v>
      </c>
    </row>
    <row r="810" spans="1:5" x14ac:dyDescent="0.25">
      <c r="A810" s="6" t="s">
        <v>811</v>
      </c>
      <c r="B810" s="5">
        <f t="shared" si="37"/>
        <v>499609.20603879384</v>
      </c>
      <c r="C810" s="5">
        <f t="shared" si="38"/>
        <v>9992.1841207758771</v>
      </c>
      <c r="D810" s="5">
        <f t="shared" si="36"/>
        <v>2997.6552362327629</v>
      </c>
      <c r="E810" s="5" t="s">
        <v>811</v>
      </c>
    </row>
    <row r="811" spans="1:5" x14ac:dyDescent="0.25">
      <c r="A811" s="6" t="s">
        <v>812</v>
      </c>
      <c r="B811" s="5">
        <f t="shared" si="37"/>
        <v>502606.86127502657</v>
      </c>
      <c r="C811" s="5">
        <f t="shared" si="38"/>
        <v>10052.137225500532</v>
      </c>
      <c r="D811" s="5">
        <f t="shared" si="36"/>
        <v>3015.6411676501593</v>
      </c>
      <c r="E811" s="5" t="s">
        <v>812</v>
      </c>
    </row>
    <row r="812" spans="1:5" x14ac:dyDescent="0.25">
      <c r="A812" s="6" t="s">
        <v>813</v>
      </c>
      <c r="B812" s="5">
        <f t="shared" si="37"/>
        <v>505622.50244267675</v>
      </c>
      <c r="C812" s="5">
        <f t="shared" si="38"/>
        <v>10112.450048853536</v>
      </c>
      <c r="D812" s="5">
        <f t="shared" si="36"/>
        <v>3033.7350146560607</v>
      </c>
      <c r="E812" s="5" t="s">
        <v>813</v>
      </c>
    </row>
    <row r="813" spans="1:5" x14ac:dyDescent="0.25">
      <c r="A813" s="6" t="s">
        <v>814</v>
      </c>
      <c r="B813" s="5">
        <f t="shared" si="37"/>
        <v>508656.23745733278</v>
      </c>
      <c r="C813" s="5">
        <f t="shared" si="38"/>
        <v>10173.124749146657</v>
      </c>
      <c r="D813" s="5">
        <f t="shared" si="36"/>
        <v>3051.9374247439969</v>
      </c>
      <c r="E813" s="5" t="s">
        <v>814</v>
      </c>
    </row>
    <row r="814" spans="1:5" x14ac:dyDescent="0.25">
      <c r="A814" s="6" t="s">
        <v>815</v>
      </c>
      <c r="B814" s="5">
        <f t="shared" si="37"/>
        <v>511708.1748820768</v>
      </c>
      <c r="C814" s="5">
        <f t="shared" si="38"/>
        <v>10234.163497641535</v>
      </c>
      <c r="D814" s="5">
        <f t="shared" si="36"/>
        <v>3070.2490492924603</v>
      </c>
      <c r="E814" s="5" t="s">
        <v>815</v>
      </c>
    </row>
    <row r="815" spans="1:5" x14ac:dyDescent="0.25">
      <c r="A815" s="6" t="s">
        <v>816</v>
      </c>
      <c r="B815" s="5">
        <f t="shared" si="37"/>
        <v>514778.42393136927</v>
      </c>
      <c r="C815" s="5">
        <f t="shared" si="38"/>
        <v>10295.568478627385</v>
      </c>
      <c r="D815" s="5">
        <f t="shared" si="36"/>
        <v>3088.6705435882154</v>
      </c>
      <c r="E815" s="5" t="s">
        <v>816</v>
      </c>
    </row>
    <row r="816" spans="1:5" x14ac:dyDescent="0.25">
      <c r="A816" s="6" t="s">
        <v>817</v>
      </c>
      <c r="B816" s="5">
        <f t="shared" si="37"/>
        <v>517867.0944749575</v>
      </c>
      <c r="C816" s="5">
        <f t="shared" si="38"/>
        <v>10357.34188949915</v>
      </c>
      <c r="D816" s="5">
        <f t="shared" si="36"/>
        <v>3107.2025668497449</v>
      </c>
      <c r="E816" s="5" t="s">
        <v>817</v>
      </c>
    </row>
    <row r="817" spans="1:5" x14ac:dyDescent="0.25">
      <c r="A817" s="6" t="s">
        <v>818</v>
      </c>
      <c r="B817" s="5">
        <f t="shared" si="37"/>
        <v>520974.29704180727</v>
      </c>
      <c r="C817" s="5">
        <f t="shared" si="38"/>
        <v>10419.485940836146</v>
      </c>
      <c r="D817" s="5">
        <f t="shared" si="36"/>
        <v>3125.845782250844</v>
      </c>
      <c r="E817" s="5" t="s">
        <v>818</v>
      </c>
    </row>
    <row r="818" spans="1:5" x14ac:dyDescent="0.25">
      <c r="A818" s="6" t="s">
        <v>819</v>
      </c>
      <c r="B818" s="5">
        <f t="shared" si="37"/>
        <v>524100.14282405813</v>
      </c>
      <c r="C818" s="5">
        <f t="shared" si="38"/>
        <v>10482.002856481164</v>
      </c>
      <c r="D818" s="5">
        <f t="shared" si="36"/>
        <v>3144.6008569443488</v>
      </c>
      <c r="E818" s="5" t="s">
        <v>819</v>
      </c>
    </row>
    <row r="819" spans="1:5" x14ac:dyDescent="0.25">
      <c r="A819" s="6" t="s">
        <v>820</v>
      </c>
      <c r="B819" s="5">
        <f t="shared" si="37"/>
        <v>527244.74368100252</v>
      </c>
      <c r="C819" s="5">
        <f t="shared" si="38"/>
        <v>10544.894873620051</v>
      </c>
      <c r="D819" s="5">
        <f t="shared" si="36"/>
        <v>3163.4684620860153</v>
      </c>
      <c r="E819" s="5" t="s">
        <v>820</v>
      </c>
    </row>
    <row r="820" spans="1:5" x14ac:dyDescent="0.25">
      <c r="A820" s="6" t="s">
        <v>821</v>
      </c>
      <c r="B820" s="5">
        <f t="shared" si="37"/>
        <v>530408.21214308857</v>
      </c>
      <c r="C820" s="5">
        <f t="shared" si="38"/>
        <v>10608.164242861772</v>
      </c>
      <c r="D820" s="5">
        <f t="shared" si="36"/>
        <v>3182.4492728585315</v>
      </c>
      <c r="E820" s="5" t="s">
        <v>821</v>
      </c>
    </row>
    <row r="821" spans="1:5" x14ac:dyDescent="0.25">
      <c r="A821" s="6" t="s">
        <v>822</v>
      </c>
      <c r="B821" s="5">
        <f t="shared" si="37"/>
        <v>533590.66141594714</v>
      </c>
      <c r="C821" s="5">
        <f t="shared" si="38"/>
        <v>10671.813228318942</v>
      </c>
      <c r="D821" s="5">
        <f t="shared" si="36"/>
        <v>3201.5439684956827</v>
      </c>
      <c r="E821" s="5" t="s">
        <v>822</v>
      </c>
    </row>
    <row r="822" spans="1:5" x14ac:dyDescent="0.25">
      <c r="A822" s="6" t="s">
        <v>823</v>
      </c>
      <c r="B822" s="5">
        <f t="shared" si="37"/>
        <v>536792.20538444282</v>
      </c>
      <c r="C822" s="5">
        <f t="shared" si="38"/>
        <v>10735.844107688856</v>
      </c>
      <c r="D822" s="5">
        <f t="shared" si="36"/>
        <v>3220.7532323066566</v>
      </c>
      <c r="E822" s="5" t="s">
        <v>823</v>
      </c>
    </row>
    <row r="823" spans="1:5" x14ac:dyDescent="0.25">
      <c r="A823" s="6" t="s">
        <v>824</v>
      </c>
      <c r="B823" s="5">
        <f t="shared" si="37"/>
        <v>540012.9586167495</v>
      </c>
      <c r="C823" s="5">
        <f t="shared" si="38"/>
        <v>10800.259172334991</v>
      </c>
      <c r="D823" s="5">
        <f t="shared" si="36"/>
        <v>3240.0777517004972</v>
      </c>
      <c r="E823" s="5" t="s">
        <v>824</v>
      </c>
    </row>
    <row r="824" spans="1:5" x14ac:dyDescent="0.25">
      <c r="A824" s="6" t="s">
        <v>825</v>
      </c>
      <c r="B824" s="5">
        <f t="shared" si="37"/>
        <v>543253.03636845003</v>
      </c>
      <c r="C824" s="5">
        <f t="shared" si="38"/>
        <v>10865.060727369</v>
      </c>
      <c r="D824" s="5">
        <f t="shared" si="36"/>
        <v>3259.5182182107001</v>
      </c>
      <c r="E824" s="5" t="s">
        <v>825</v>
      </c>
    </row>
    <row r="825" spans="1:5" x14ac:dyDescent="0.25">
      <c r="A825" s="6" t="s">
        <v>826</v>
      </c>
      <c r="B825" s="5">
        <f t="shared" si="37"/>
        <v>546512.5545866607</v>
      </c>
      <c r="C825" s="5">
        <f t="shared" si="38"/>
        <v>10930.251091733215</v>
      </c>
      <c r="D825" s="5">
        <f t="shared" si="36"/>
        <v>3279.0753275199645</v>
      </c>
      <c r="E825" s="5" t="s">
        <v>826</v>
      </c>
    </row>
    <row r="826" spans="1:5" x14ac:dyDescent="0.25">
      <c r="A826" s="6" t="s">
        <v>827</v>
      </c>
      <c r="B826" s="5">
        <f t="shared" si="37"/>
        <v>549791.62991418061</v>
      </c>
      <c r="C826" s="5">
        <f t="shared" si="38"/>
        <v>10995.832598283612</v>
      </c>
      <c r="D826" s="5">
        <f t="shared" si="36"/>
        <v>3298.7497794850838</v>
      </c>
      <c r="E826" s="5" t="s">
        <v>827</v>
      </c>
    </row>
    <row r="827" spans="1:5" x14ac:dyDescent="0.25">
      <c r="A827" s="6" t="s">
        <v>828</v>
      </c>
      <c r="B827" s="5">
        <f t="shared" si="37"/>
        <v>553090.37969366566</v>
      </c>
      <c r="C827" s="5">
        <f t="shared" si="38"/>
        <v>11061.807593873313</v>
      </c>
      <c r="D827" s="5">
        <f t="shared" si="36"/>
        <v>3318.5422781619936</v>
      </c>
      <c r="E827" s="5" t="s">
        <v>828</v>
      </c>
    </row>
    <row r="828" spans="1:5" x14ac:dyDescent="0.25">
      <c r="A828" s="6" t="s">
        <v>829</v>
      </c>
      <c r="B828" s="5">
        <f t="shared" si="37"/>
        <v>556408.92197182763</v>
      </c>
      <c r="C828" s="5">
        <f t="shared" si="38"/>
        <v>11128.178439436553</v>
      </c>
      <c r="D828" s="5">
        <f t="shared" si="36"/>
        <v>3338.4535318309659</v>
      </c>
      <c r="E828" s="5" t="s">
        <v>829</v>
      </c>
    </row>
    <row r="829" spans="1:5" x14ac:dyDescent="0.25">
      <c r="A829" s="6" t="s">
        <v>830</v>
      </c>
      <c r="B829" s="5">
        <f t="shared" si="37"/>
        <v>559747.37550365855</v>
      </c>
      <c r="C829" s="5">
        <f t="shared" si="38"/>
        <v>11194.947510073171</v>
      </c>
      <c r="D829" s="5">
        <f t="shared" si="36"/>
        <v>3358.4842530219512</v>
      </c>
      <c r="E829" s="5" t="s">
        <v>830</v>
      </c>
    </row>
    <row r="830" spans="1:5" x14ac:dyDescent="0.25">
      <c r="A830" s="6" t="s">
        <v>831</v>
      </c>
      <c r="B830" s="5">
        <f t="shared" si="37"/>
        <v>563105.85975668055</v>
      </c>
      <c r="C830" s="5">
        <f t="shared" si="38"/>
        <v>11262.117195133611</v>
      </c>
      <c r="D830" s="5">
        <f t="shared" si="36"/>
        <v>3378.635158540083</v>
      </c>
      <c r="E830" s="5" t="s">
        <v>831</v>
      </c>
    </row>
    <row r="831" spans="1:5" x14ac:dyDescent="0.25">
      <c r="A831" s="6" t="s">
        <v>832</v>
      </c>
      <c r="B831" s="5">
        <f t="shared" si="37"/>
        <v>566484.49491522065</v>
      </c>
      <c r="C831" s="5">
        <f t="shared" si="38"/>
        <v>11329.689898304414</v>
      </c>
      <c r="D831" s="5">
        <f t="shared" si="36"/>
        <v>3398.9069694913242</v>
      </c>
      <c r="E831" s="5" t="s">
        <v>832</v>
      </c>
    </row>
    <row r="832" spans="1:5" x14ac:dyDescent="0.25">
      <c r="A832" s="6" t="s">
        <v>833</v>
      </c>
      <c r="B832" s="5">
        <f t="shared" si="37"/>
        <v>569883.40188471193</v>
      </c>
      <c r="C832" s="5">
        <f t="shared" si="38"/>
        <v>11397.668037694239</v>
      </c>
      <c r="D832" s="5">
        <f t="shared" si="36"/>
        <v>3419.3004113082716</v>
      </c>
      <c r="E832" s="5" t="s">
        <v>833</v>
      </c>
    </row>
    <row r="833" spans="1:5" x14ac:dyDescent="0.25">
      <c r="A833" s="6" t="s">
        <v>834</v>
      </c>
      <c r="B833" s="5">
        <f t="shared" si="37"/>
        <v>573302.70229602023</v>
      </c>
      <c r="C833" s="5">
        <f t="shared" si="38"/>
        <v>11466.054045920404</v>
      </c>
      <c r="D833" s="5">
        <f t="shared" si="36"/>
        <v>3439.816213776121</v>
      </c>
      <c r="E833" s="5" t="s">
        <v>834</v>
      </c>
    </row>
    <row r="834" spans="1:5" x14ac:dyDescent="0.25">
      <c r="A834" s="6" t="s">
        <v>835</v>
      </c>
      <c r="B834" s="5">
        <f t="shared" si="37"/>
        <v>576742.51850979635</v>
      </c>
      <c r="C834" s="5">
        <f t="shared" si="38"/>
        <v>11534.850370195927</v>
      </c>
      <c r="D834" s="5">
        <f t="shared" si="36"/>
        <v>3460.4551110587781</v>
      </c>
      <c r="E834" s="5" t="s">
        <v>835</v>
      </c>
    </row>
    <row r="835" spans="1:5" x14ac:dyDescent="0.25">
      <c r="A835" s="6" t="s">
        <v>836</v>
      </c>
      <c r="B835" s="5">
        <f t="shared" si="37"/>
        <v>580202.97362085513</v>
      </c>
      <c r="C835" s="5">
        <f t="shared" si="38"/>
        <v>11604.059472417102</v>
      </c>
      <c r="D835" s="5">
        <f t="shared" si="36"/>
        <v>3481.2178417251307</v>
      </c>
      <c r="E835" s="5" t="s">
        <v>836</v>
      </c>
    </row>
    <row r="836" spans="1:5" x14ac:dyDescent="0.25">
      <c r="A836" s="6" t="s">
        <v>837</v>
      </c>
      <c r="B836" s="5">
        <f t="shared" si="37"/>
        <v>583684.19146258023</v>
      </c>
      <c r="C836" s="5">
        <f t="shared" si="38"/>
        <v>11673.683829251604</v>
      </c>
      <c r="D836" s="5">
        <f t="shared" si="36"/>
        <v>3502.1051487754812</v>
      </c>
      <c r="E836" s="5" t="s">
        <v>837</v>
      </c>
    </row>
    <row r="837" spans="1:5" x14ac:dyDescent="0.25">
      <c r="A837" s="6" t="s">
        <v>838</v>
      </c>
      <c r="B837" s="5">
        <f t="shared" si="37"/>
        <v>587186.29661135573</v>
      </c>
      <c r="C837" s="5">
        <f t="shared" si="38"/>
        <v>11743.725932227115</v>
      </c>
      <c r="D837" s="5">
        <f t="shared" si="36"/>
        <v>3523.1177796681345</v>
      </c>
      <c r="E837" s="5" t="s">
        <v>838</v>
      </c>
    </row>
    <row r="838" spans="1:5" x14ac:dyDescent="0.25">
      <c r="A838" s="6" t="s">
        <v>839</v>
      </c>
      <c r="B838" s="5">
        <f t="shared" si="37"/>
        <v>590709.41439102392</v>
      </c>
      <c r="C838" s="5">
        <f t="shared" si="38"/>
        <v>11814.188287820478</v>
      </c>
      <c r="D838" s="5">
        <f t="shared" ref="D838:D901" si="39">C838*$B$2*$E$2</f>
        <v>3544.2564863461434</v>
      </c>
      <c r="E838" s="5" t="s">
        <v>839</v>
      </c>
    </row>
    <row r="839" spans="1:5" x14ac:dyDescent="0.25">
      <c r="A839" s="6" t="s">
        <v>840</v>
      </c>
      <c r="B839" s="5">
        <f t="shared" si="37"/>
        <v>594253.67087737005</v>
      </c>
      <c r="C839" s="5">
        <f t="shared" si="38"/>
        <v>11885.073417547401</v>
      </c>
      <c r="D839" s="5">
        <f t="shared" si="39"/>
        <v>3565.5220252642202</v>
      </c>
      <c r="E839" s="5" t="s">
        <v>840</v>
      </c>
    </row>
    <row r="840" spans="1:5" x14ac:dyDescent="0.25">
      <c r="A840" s="6" t="s">
        <v>841</v>
      </c>
      <c r="B840" s="5">
        <f t="shared" si="37"/>
        <v>597819.19290263427</v>
      </c>
      <c r="C840" s="5">
        <f t="shared" si="38"/>
        <v>11956.383858052686</v>
      </c>
      <c r="D840" s="5">
        <f t="shared" si="39"/>
        <v>3586.9151574158059</v>
      </c>
      <c r="E840" s="5" t="s">
        <v>841</v>
      </c>
    </row>
    <row r="841" spans="1:5" x14ac:dyDescent="0.25">
      <c r="A841" s="6" t="s">
        <v>842</v>
      </c>
      <c r="B841" s="5">
        <f t="shared" ref="B841:B904" si="40">B840+D840</f>
        <v>601406.10806005006</v>
      </c>
      <c r="C841" s="5">
        <f t="shared" ref="C841:C904" si="41">B841*$C$2</f>
        <v>12028.122161201001</v>
      </c>
      <c r="D841" s="5">
        <f t="shared" si="39"/>
        <v>3608.4366483603003</v>
      </c>
      <c r="E841" s="5" t="s">
        <v>842</v>
      </c>
    </row>
    <row r="842" spans="1:5" x14ac:dyDescent="0.25">
      <c r="A842" s="6" t="s">
        <v>843</v>
      </c>
      <c r="B842" s="5">
        <f t="shared" si="40"/>
        <v>605014.54470841039</v>
      </c>
      <c r="C842" s="5">
        <f t="shared" si="41"/>
        <v>12100.290894168209</v>
      </c>
      <c r="D842" s="5">
        <f t="shared" si="39"/>
        <v>3630.0872682504628</v>
      </c>
      <c r="E842" s="5" t="s">
        <v>843</v>
      </c>
    </row>
    <row r="843" spans="1:5" x14ac:dyDescent="0.25">
      <c r="A843" s="6" t="s">
        <v>844</v>
      </c>
      <c r="B843" s="5">
        <f t="shared" si="40"/>
        <v>608644.63197666081</v>
      </c>
      <c r="C843" s="5">
        <f t="shared" si="41"/>
        <v>12172.892639533216</v>
      </c>
      <c r="D843" s="5">
        <f t="shared" si="39"/>
        <v>3651.8677918599647</v>
      </c>
      <c r="E843" s="5" t="s">
        <v>844</v>
      </c>
    </row>
    <row r="844" spans="1:5" x14ac:dyDescent="0.25">
      <c r="A844" s="6" t="s">
        <v>845</v>
      </c>
      <c r="B844" s="5">
        <f t="shared" si="40"/>
        <v>612296.49976852082</v>
      </c>
      <c r="C844" s="5">
        <f t="shared" si="41"/>
        <v>12245.929995370418</v>
      </c>
      <c r="D844" s="5">
        <f t="shared" si="39"/>
        <v>3673.7789986111252</v>
      </c>
      <c r="E844" s="5" t="s">
        <v>845</v>
      </c>
    </row>
    <row r="845" spans="1:5" x14ac:dyDescent="0.25">
      <c r="A845" s="6" t="s">
        <v>846</v>
      </c>
      <c r="B845" s="5">
        <f t="shared" si="40"/>
        <v>615970.27876713197</v>
      </c>
      <c r="C845" s="5">
        <f t="shared" si="41"/>
        <v>12319.40557534264</v>
      </c>
      <c r="D845" s="5">
        <f t="shared" si="39"/>
        <v>3695.8216726027918</v>
      </c>
      <c r="E845" s="5" t="s">
        <v>846</v>
      </c>
    </row>
    <row r="846" spans="1:5" x14ac:dyDescent="0.25">
      <c r="A846" s="6" t="s">
        <v>847</v>
      </c>
      <c r="B846" s="5">
        <f t="shared" si="40"/>
        <v>619666.10043973476</v>
      </c>
      <c r="C846" s="5">
        <f t="shared" si="41"/>
        <v>12393.322008794696</v>
      </c>
      <c r="D846" s="5">
        <f t="shared" si="39"/>
        <v>3717.9966026384086</v>
      </c>
      <c r="E846" s="5" t="s">
        <v>847</v>
      </c>
    </row>
    <row r="847" spans="1:5" x14ac:dyDescent="0.25">
      <c r="A847" s="6" t="s">
        <v>848</v>
      </c>
      <c r="B847" s="5">
        <f t="shared" si="40"/>
        <v>623384.09704237315</v>
      </c>
      <c r="C847" s="5">
        <f t="shared" si="41"/>
        <v>12467.681940847464</v>
      </c>
      <c r="D847" s="5">
        <f t="shared" si="39"/>
        <v>3740.304582254239</v>
      </c>
      <c r="E847" s="5" t="s">
        <v>848</v>
      </c>
    </row>
    <row r="848" spans="1:5" x14ac:dyDescent="0.25">
      <c r="A848" s="6" t="s">
        <v>849</v>
      </c>
      <c r="B848" s="5">
        <f t="shared" si="40"/>
        <v>627124.40162462741</v>
      </c>
      <c r="C848" s="5">
        <f t="shared" si="41"/>
        <v>12542.488032492549</v>
      </c>
      <c r="D848" s="5">
        <f t="shared" si="39"/>
        <v>3762.7464097477646</v>
      </c>
      <c r="E848" s="5" t="s">
        <v>849</v>
      </c>
    </row>
    <row r="849" spans="1:5" x14ac:dyDescent="0.25">
      <c r="A849" s="6" t="s">
        <v>850</v>
      </c>
      <c r="B849" s="5">
        <f t="shared" si="40"/>
        <v>630887.14803437516</v>
      </c>
      <c r="C849" s="5">
        <f t="shared" si="41"/>
        <v>12617.742960687503</v>
      </c>
      <c r="D849" s="5">
        <f t="shared" si="39"/>
        <v>3785.3228882062508</v>
      </c>
      <c r="E849" s="5" t="s">
        <v>850</v>
      </c>
    </row>
    <row r="850" spans="1:5" x14ac:dyDescent="0.25">
      <c r="A850" s="6" t="s">
        <v>851</v>
      </c>
      <c r="B850" s="5">
        <f t="shared" si="40"/>
        <v>634672.47092258139</v>
      </c>
      <c r="C850" s="5">
        <f t="shared" si="41"/>
        <v>12693.449418451628</v>
      </c>
      <c r="D850" s="5">
        <f t="shared" si="39"/>
        <v>3808.0348255354884</v>
      </c>
      <c r="E850" s="5" t="s">
        <v>851</v>
      </c>
    </row>
    <row r="851" spans="1:5" x14ac:dyDescent="0.25">
      <c r="A851" s="6" t="s">
        <v>852</v>
      </c>
      <c r="B851" s="5">
        <f t="shared" si="40"/>
        <v>638480.50574811688</v>
      </c>
      <c r="C851" s="5">
        <f t="shared" si="41"/>
        <v>12769.610114962337</v>
      </c>
      <c r="D851" s="5">
        <f t="shared" si="39"/>
        <v>3830.883034488701</v>
      </c>
      <c r="E851" s="5" t="s">
        <v>852</v>
      </c>
    </row>
    <row r="852" spans="1:5" x14ac:dyDescent="0.25">
      <c r="A852" s="6" t="s">
        <v>853</v>
      </c>
      <c r="B852" s="5">
        <f t="shared" si="40"/>
        <v>642311.38878260553</v>
      </c>
      <c r="C852" s="5">
        <f t="shared" si="41"/>
        <v>12846.227775652111</v>
      </c>
      <c r="D852" s="5">
        <f t="shared" si="39"/>
        <v>3853.8683326956329</v>
      </c>
      <c r="E852" s="5" t="s">
        <v>853</v>
      </c>
    </row>
    <row r="853" spans="1:5" x14ac:dyDescent="0.25">
      <c r="A853" s="6" t="s">
        <v>854</v>
      </c>
      <c r="B853" s="5">
        <f t="shared" si="40"/>
        <v>646165.25711530121</v>
      </c>
      <c r="C853" s="5">
        <f t="shared" si="41"/>
        <v>12923.305142306024</v>
      </c>
      <c r="D853" s="5">
        <f t="shared" si="39"/>
        <v>3876.9915426918069</v>
      </c>
      <c r="E853" s="5" t="s">
        <v>854</v>
      </c>
    </row>
    <row r="854" spans="1:5" x14ac:dyDescent="0.25">
      <c r="A854" s="6" t="s">
        <v>855</v>
      </c>
      <c r="B854" s="5">
        <f t="shared" si="40"/>
        <v>650042.24865799304</v>
      </c>
      <c r="C854" s="5">
        <f t="shared" si="41"/>
        <v>13000.844973159861</v>
      </c>
      <c r="D854" s="5">
        <f t="shared" si="39"/>
        <v>3900.2534919479581</v>
      </c>
      <c r="E854" s="5" t="s">
        <v>855</v>
      </c>
    </row>
    <row r="855" spans="1:5" x14ac:dyDescent="0.25">
      <c r="A855" s="6" t="s">
        <v>856</v>
      </c>
      <c r="B855" s="5">
        <f t="shared" si="40"/>
        <v>653942.50214994105</v>
      </c>
      <c r="C855" s="5">
        <f t="shared" si="41"/>
        <v>13078.850042998822</v>
      </c>
      <c r="D855" s="5">
        <f t="shared" si="39"/>
        <v>3923.6550128996464</v>
      </c>
      <c r="E855" s="5" t="s">
        <v>856</v>
      </c>
    </row>
    <row r="856" spans="1:5" x14ac:dyDescent="0.25">
      <c r="A856" s="6" t="s">
        <v>857</v>
      </c>
      <c r="B856" s="5">
        <f t="shared" si="40"/>
        <v>657866.15716284071</v>
      </c>
      <c r="C856" s="5">
        <f t="shared" si="41"/>
        <v>13157.323143256814</v>
      </c>
      <c r="D856" s="5">
        <f t="shared" si="39"/>
        <v>3947.1969429770438</v>
      </c>
      <c r="E856" s="5" t="s">
        <v>857</v>
      </c>
    </row>
    <row r="857" spans="1:5" x14ac:dyDescent="0.25">
      <c r="A857" s="6" t="s">
        <v>858</v>
      </c>
      <c r="B857" s="5">
        <f t="shared" si="40"/>
        <v>661813.35410581774</v>
      </c>
      <c r="C857" s="5">
        <f t="shared" si="41"/>
        <v>13236.267082116356</v>
      </c>
      <c r="D857" s="5">
        <f t="shared" si="39"/>
        <v>3970.8801246349067</v>
      </c>
      <c r="E857" s="5" t="s">
        <v>858</v>
      </c>
    </row>
    <row r="858" spans="1:5" x14ac:dyDescent="0.25">
      <c r="A858" s="6" t="s">
        <v>859</v>
      </c>
      <c r="B858" s="5">
        <f t="shared" si="40"/>
        <v>665784.23423045268</v>
      </c>
      <c r="C858" s="5">
        <f t="shared" si="41"/>
        <v>13315.684684609054</v>
      </c>
      <c r="D858" s="5">
        <f t="shared" si="39"/>
        <v>3994.705405382716</v>
      </c>
      <c r="E858" s="5" t="s">
        <v>859</v>
      </c>
    </row>
    <row r="859" spans="1:5" x14ac:dyDescent="0.25">
      <c r="A859" s="6" t="s">
        <v>860</v>
      </c>
      <c r="B859" s="5">
        <f t="shared" si="40"/>
        <v>669778.93963583536</v>
      </c>
      <c r="C859" s="5">
        <f t="shared" si="41"/>
        <v>13395.578792716708</v>
      </c>
      <c r="D859" s="5">
        <f t="shared" si="39"/>
        <v>4018.6736378150122</v>
      </c>
      <c r="E859" s="5" t="s">
        <v>860</v>
      </c>
    </row>
    <row r="860" spans="1:5" x14ac:dyDescent="0.25">
      <c r="A860" s="6" t="s">
        <v>861</v>
      </c>
      <c r="B860" s="5">
        <f t="shared" si="40"/>
        <v>673797.61327365041</v>
      </c>
      <c r="C860" s="5">
        <f t="shared" si="41"/>
        <v>13475.952265473008</v>
      </c>
      <c r="D860" s="5">
        <f t="shared" si="39"/>
        <v>4042.7856796419023</v>
      </c>
      <c r="E860" s="5" t="s">
        <v>861</v>
      </c>
    </row>
    <row r="861" spans="1:5" x14ac:dyDescent="0.25">
      <c r="A861" s="6" t="s">
        <v>862</v>
      </c>
      <c r="B861" s="5">
        <f t="shared" si="40"/>
        <v>677840.39895329229</v>
      </c>
      <c r="C861" s="5">
        <f t="shared" si="41"/>
        <v>13556.807979065847</v>
      </c>
      <c r="D861" s="5">
        <f t="shared" si="39"/>
        <v>4067.0423937197538</v>
      </c>
      <c r="E861" s="5" t="s">
        <v>862</v>
      </c>
    </row>
    <row r="862" spans="1:5" x14ac:dyDescent="0.25">
      <c r="A862" s="6" t="s">
        <v>863</v>
      </c>
      <c r="B862" s="5">
        <f t="shared" si="40"/>
        <v>681907.44134701206</v>
      </c>
      <c r="C862" s="5">
        <f t="shared" si="41"/>
        <v>13638.148826940242</v>
      </c>
      <c r="D862" s="5">
        <f t="shared" si="39"/>
        <v>4091.4446480820725</v>
      </c>
      <c r="E862" s="5" t="s">
        <v>863</v>
      </c>
    </row>
    <row r="863" spans="1:5" x14ac:dyDescent="0.25">
      <c r="A863" s="6" t="s">
        <v>864</v>
      </c>
      <c r="B863" s="5">
        <f t="shared" si="40"/>
        <v>685998.88599509408</v>
      </c>
      <c r="C863" s="5">
        <f t="shared" si="41"/>
        <v>13719.977719901883</v>
      </c>
      <c r="D863" s="5">
        <f t="shared" si="39"/>
        <v>4115.9933159705643</v>
      </c>
      <c r="E863" s="5" t="s">
        <v>864</v>
      </c>
    </row>
    <row r="864" spans="1:5" x14ac:dyDescent="0.25">
      <c r="A864" s="6" t="s">
        <v>865</v>
      </c>
      <c r="B864" s="5">
        <f t="shared" si="40"/>
        <v>690114.87931106461</v>
      </c>
      <c r="C864" s="5">
        <f t="shared" si="41"/>
        <v>13802.297586221292</v>
      </c>
      <c r="D864" s="5">
        <f t="shared" si="39"/>
        <v>4140.6892758663871</v>
      </c>
      <c r="E864" s="5" t="s">
        <v>865</v>
      </c>
    </row>
    <row r="865" spans="1:5" x14ac:dyDescent="0.25">
      <c r="A865" s="6" t="s">
        <v>866</v>
      </c>
      <c r="B865" s="5">
        <f t="shared" si="40"/>
        <v>694255.56858693098</v>
      </c>
      <c r="C865" s="5">
        <f t="shared" si="41"/>
        <v>13885.11137173862</v>
      </c>
      <c r="D865" s="5">
        <f t="shared" si="39"/>
        <v>4165.5334115215855</v>
      </c>
      <c r="E865" s="5" t="s">
        <v>866</v>
      </c>
    </row>
    <row r="866" spans="1:5" x14ac:dyDescent="0.25">
      <c r="A866" s="6" t="s">
        <v>867</v>
      </c>
      <c r="B866" s="5">
        <f t="shared" si="40"/>
        <v>698421.10199845256</v>
      </c>
      <c r="C866" s="5">
        <f t="shared" si="41"/>
        <v>13968.422039969051</v>
      </c>
      <c r="D866" s="5">
        <f t="shared" si="39"/>
        <v>4190.5266119907155</v>
      </c>
      <c r="E866" s="5" t="s">
        <v>867</v>
      </c>
    </row>
    <row r="867" spans="1:5" x14ac:dyDescent="0.25">
      <c r="A867" s="6" t="s">
        <v>868</v>
      </c>
      <c r="B867" s="5">
        <f t="shared" si="40"/>
        <v>702611.62861044332</v>
      </c>
      <c r="C867" s="5">
        <f t="shared" si="41"/>
        <v>14052.232572208866</v>
      </c>
      <c r="D867" s="5">
        <f t="shared" si="39"/>
        <v>4215.6697716626595</v>
      </c>
      <c r="E867" s="5" t="s">
        <v>868</v>
      </c>
    </row>
    <row r="868" spans="1:5" x14ac:dyDescent="0.25">
      <c r="A868" s="6" t="s">
        <v>869</v>
      </c>
      <c r="B868" s="5">
        <f t="shared" si="40"/>
        <v>706827.298382106</v>
      </c>
      <c r="C868" s="5">
        <f t="shared" si="41"/>
        <v>14136.54596764212</v>
      </c>
      <c r="D868" s="5">
        <f t="shared" si="39"/>
        <v>4240.9637902926361</v>
      </c>
      <c r="E868" s="5" t="s">
        <v>869</v>
      </c>
    </row>
    <row r="869" spans="1:5" x14ac:dyDescent="0.25">
      <c r="A869" s="6" t="s">
        <v>870</v>
      </c>
      <c r="B869" s="5">
        <f t="shared" si="40"/>
        <v>711068.26217239862</v>
      </c>
      <c r="C869" s="5">
        <f t="shared" si="41"/>
        <v>14221.365243447974</v>
      </c>
      <c r="D869" s="5">
        <f t="shared" si="39"/>
        <v>4266.4095730343915</v>
      </c>
      <c r="E869" s="5" t="s">
        <v>870</v>
      </c>
    </row>
    <row r="870" spans="1:5" x14ac:dyDescent="0.25">
      <c r="A870" s="6" t="s">
        <v>871</v>
      </c>
      <c r="B870" s="5">
        <f t="shared" si="40"/>
        <v>715334.67174543301</v>
      </c>
      <c r="C870" s="5">
        <f t="shared" si="41"/>
        <v>14306.69343490866</v>
      </c>
      <c r="D870" s="5">
        <f t="shared" si="39"/>
        <v>4292.008030472598</v>
      </c>
      <c r="E870" s="5" t="s">
        <v>871</v>
      </c>
    </row>
    <row r="871" spans="1:5" x14ac:dyDescent="0.25">
      <c r="A871" s="6" t="s">
        <v>872</v>
      </c>
      <c r="B871" s="5">
        <f t="shared" si="40"/>
        <v>719626.67977590556</v>
      </c>
      <c r="C871" s="5">
        <f t="shared" si="41"/>
        <v>14392.533595518111</v>
      </c>
      <c r="D871" s="5">
        <f t="shared" si="39"/>
        <v>4317.7600786554331</v>
      </c>
      <c r="E871" s="5" t="s">
        <v>872</v>
      </c>
    </row>
    <row r="872" spans="1:5" x14ac:dyDescent="0.25">
      <c r="A872" s="6" t="s">
        <v>873</v>
      </c>
      <c r="B872" s="5">
        <f t="shared" si="40"/>
        <v>723944.439854561</v>
      </c>
      <c r="C872" s="5">
        <f t="shared" si="41"/>
        <v>14478.88879709122</v>
      </c>
      <c r="D872" s="5">
        <f t="shared" si="39"/>
        <v>4343.6666391273657</v>
      </c>
      <c r="E872" s="5" t="s">
        <v>873</v>
      </c>
    </row>
    <row r="873" spans="1:5" x14ac:dyDescent="0.25">
      <c r="A873" s="6" t="s">
        <v>874</v>
      </c>
      <c r="B873" s="5">
        <f t="shared" si="40"/>
        <v>728288.10649368842</v>
      </c>
      <c r="C873" s="5">
        <f t="shared" si="41"/>
        <v>14565.762129873769</v>
      </c>
      <c r="D873" s="5">
        <f t="shared" si="39"/>
        <v>4369.7286389621304</v>
      </c>
      <c r="E873" s="5" t="s">
        <v>874</v>
      </c>
    </row>
    <row r="874" spans="1:5" x14ac:dyDescent="0.25">
      <c r="A874" s="6" t="s">
        <v>875</v>
      </c>
      <c r="B874" s="5">
        <f t="shared" si="40"/>
        <v>732657.83513265057</v>
      </c>
      <c r="C874" s="5">
        <f t="shared" si="41"/>
        <v>14653.156702653012</v>
      </c>
      <c r="D874" s="5">
        <f t="shared" si="39"/>
        <v>4395.9470107959032</v>
      </c>
      <c r="E874" s="5" t="s">
        <v>875</v>
      </c>
    </row>
    <row r="875" spans="1:5" x14ac:dyDescent="0.25">
      <c r="A875" s="6" t="s">
        <v>876</v>
      </c>
      <c r="B875" s="5">
        <f t="shared" si="40"/>
        <v>737053.7821434465</v>
      </c>
      <c r="C875" s="5">
        <f t="shared" si="41"/>
        <v>14741.075642868931</v>
      </c>
      <c r="D875" s="5">
        <f t="shared" si="39"/>
        <v>4422.3226928606791</v>
      </c>
      <c r="E875" s="5" t="s">
        <v>876</v>
      </c>
    </row>
    <row r="876" spans="1:5" x14ac:dyDescent="0.25">
      <c r="A876" s="6" t="s">
        <v>877</v>
      </c>
      <c r="B876" s="5">
        <f t="shared" si="40"/>
        <v>741476.10483630723</v>
      </c>
      <c r="C876" s="5">
        <f t="shared" si="41"/>
        <v>14829.522096726145</v>
      </c>
      <c r="D876" s="5">
        <f t="shared" si="39"/>
        <v>4448.8566290178433</v>
      </c>
      <c r="E876" s="5" t="s">
        <v>877</v>
      </c>
    </row>
    <row r="877" spans="1:5" x14ac:dyDescent="0.25">
      <c r="A877" s="6" t="s">
        <v>878</v>
      </c>
      <c r="B877" s="5">
        <f t="shared" si="40"/>
        <v>745924.96146532509</v>
      </c>
      <c r="C877" s="5">
        <f t="shared" si="41"/>
        <v>14918.499229306502</v>
      </c>
      <c r="D877" s="5">
        <f t="shared" si="39"/>
        <v>4475.5497687919506</v>
      </c>
      <c r="E877" s="5" t="s">
        <v>878</v>
      </c>
    </row>
    <row r="878" spans="1:5" x14ac:dyDescent="0.25">
      <c r="A878" s="6" t="s">
        <v>879</v>
      </c>
      <c r="B878" s="5">
        <f t="shared" si="40"/>
        <v>750400.51123411709</v>
      </c>
      <c r="C878" s="5">
        <f t="shared" si="41"/>
        <v>15008.010224682343</v>
      </c>
      <c r="D878" s="5">
        <f t="shared" si="39"/>
        <v>4502.4030674047026</v>
      </c>
      <c r="E878" s="5" t="s">
        <v>879</v>
      </c>
    </row>
    <row r="879" spans="1:5" x14ac:dyDescent="0.25">
      <c r="A879" s="6" t="s">
        <v>880</v>
      </c>
      <c r="B879" s="5">
        <f t="shared" si="40"/>
        <v>754902.91430152184</v>
      </c>
      <c r="C879" s="5">
        <f t="shared" si="41"/>
        <v>15098.058286030437</v>
      </c>
      <c r="D879" s="5">
        <f t="shared" si="39"/>
        <v>4529.417485809131</v>
      </c>
      <c r="E879" s="5" t="s">
        <v>880</v>
      </c>
    </row>
    <row r="880" spans="1:5" x14ac:dyDescent="0.25">
      <c r="A880" s="6" t="s">
        <v>881</v>
      </c>
      <c r="B880" s="5">
        <f t="shared" si="40"/>
        <v>759432.33178733103</v>
      </c>
      <c r="C880" s="5">
        <f t="shared" si="41"/>
        <v>15188.646635746622</v>
      </c>
      <c r="D880" s="5">
        <f t="shared" si="39"/>
        <v>4556.5939907239863</v>
      </c>
      <c r="E880" s="5" t="s">
        <v>881</v>
      </c>
    </row>
    <row r="881" spans="1:5" x14ac:dyDescent="0.25">
      <c r="A881" s="6" t="s">
        <v>882</v>
      </c>
      <c r="B881" s="5">
        <f t="shared" si="40"/>
        <v>763988.92577805498</v>
      </c>
      <c r="C881" s="5">
        <f t="shared" si="41"/>
        <v>15279.7785155611</v>
      </c>
      <c r="D881" s="5">
        <f t="shared" si="39"/>
        <v>4583.9335546683296</v>
      </c>
      <c r="E881" s="5" t="s">
        <v>882</v>
      </c>
    </row>
    <row r="882" spans="1:5" x14ac:dyDescent="0.25">
      <c r="A882" s="6" t="s">
        <v>883</v>
      </c>
      <c r="B882" s="5">
        <f t="shared" si="40"/>
        <v>768572.85933272331</v>
      </c>
      <c r="C882" s="5">
        <f t="shared" si="41"/>
        <v>15371.457186654467</v>
      </c>
      <c r="D882" s="5">
        <f t="shared" si="39"/>
        <v>4611.4371559963402</v>
      </c>
      <c r="E882" s="5" t="s">
        <v>883</v>
      </c>
    </row>
    <row r="883" spans="1:5" x14ac:dyDescent="0.25">
      <c r="A883" s="6" t="s">
        <v>884</v>
      </c>
      <c r="B883" s="5">
        <f t="shared" si="40"/>
        <v>773184.29648871964</v>
      </c>
      <c r="C883" s="5">
        <f t="shared" si="41"/>
        <v>15463.685929774394</v>
      </c>
      <c r="D883" s="5">
        <f t="shared" si="39"/>
        <v>4639.1057789323177</v>
      </c>
      <c r="E883" s="5" t="s">
        <v>884</v>
      </c>
    </row>
    <row r="884" spans="1:5" x14ac:dyDescent="0.25">
      <c r="A884" s="6" t="s">
        <v>885</v>
      </c>
      <c r="B884" s="5">
        <f t="shared" si="40"/>
        <v>777823.40226765198</v>
      </c>
      <c r="C884" s="5">
        <f t="shared" si="41"/>
        <v>15556.46804535304</v>
      </c>
      <c r="D884" s="5">
        <f t="shared" si="39"/>
        <v>4666.940413605912</v>
      </c>
      <c r="E884" s="5" t="s">
        <v>885</v>
      </c>
    </row>
    <row r="885" spans="1:5" x14ac:dyDescent="0.25">
      <c r="A885" s="6" t="s">
        <v>886</v>
      </c>
      <c r="B885" s="5">
        <f t="shared" si="40"/>
        <v>782490.34268125787</v>
      </c>
      <c r="C885" s="5">
        <f t="shared" si="41"/>
        <v>15649.806853625158</v>
      </c>
      <c r="D885" s="5">
        <f t="shared" si="39"/>
        <v>4694.9420560875469</v>
      </c>
      <c r="E885" s="5" t="s">
        <v>886</v>
      </c>
    </row>
    <row r="886" spans="1:5" x14ac:dyDescent="0.25">
      <c r="A886" s="6" t="s">
        <v>887</v>
      </c>
      <c r="B886" s="5">
        <f t="shared" si="40"/>
        <v>787185.28473734541</v>
      </c>
      <c r="C886" s="5">
        <f t="shared" si="41"/>
        <v>15743.705694746908</v>
      </c>
      <c r="D886" s="5">
        <f t="shared" si="39"/>
        <v>4723.1117084240723</v>
      </c>
      <c r="E886" s="5" t="s">
        <v>887</v>
      </c>
    </row>
    <row r="887" spans="1:5" x14ac:dyDescent="0.25">
      <c r="A887" s="6" t="s">
        <v>888</v>
      </c>
      <c r="B887" s="5">
        <f t="shared" si="40"/>
        <v>791908.39644576947</v>
      </c>
      <c r="C887" s="5">
        <f t="shared" si="41"/>
        <v>15838.167928915389</v>
      </c>
      <c r="D887" s="5">
        <f t="shared" si="39"/>
        <v>4751.4503786746163</v>
      </c>
      <c r="E887" s="5" t="s">
        <v>888</v>
      </c>
    </row>
    <row r="888" spans="1:5" x14ac:dyDescent="0.25">
      <c r="A888" s="6" t="s">
        <v>889</v>
      </c>
      <c r="B888" s="5">
        <f t="shared" si="40"/>
        <v>796659.84682444413</v>
      </c>
      <c r="C888" s="5">
        <f t="shared" si="41"/>
        <v>15933.196936488883</v>
      </c>
      <c r="D888" s="5">
        <f t="shared" si="39"/>
        <v>4779.9590809466645</v>
      </c>
      <c r="E888" s="5" t="s">
        <v>889</v>
      </c>
    </row>
    <row r="889" spans="1:5" x14ac:dyDescent="0.25">
      <c r="A889" s="6" t="s">
        <v>890</v>
      </c>
      <c r="B889" s="5">
        <f t="shared" si="40"/>
        <v>801439.80590539076</v>
      </c>
      <c r="C889" s="5">
        <f t="shared" si="41"/>
        <v>16028.796118107815</v>
      </c>
      <c r="D889" s="5">
        <f t="shared" si="39"/>
        <v>4808.6388354323444</v>
      </c>
      <c r="E889" s="5" t="s">
        <v>890</v>
      </c>
    </row>
    <row r="890" spans="1:5" x14ac:dyDescent="0.25">
      <c r="A890" s="6" t="s">
        <v>891</v>
      </c>
      <c r="B890" s="5">
        <f t="shared" si="40"/>
        <v>806248.44474082312</v>
      </c>
      <c r="C890" s="5">
        <f t="shared" si="41"/>
        <v>16124.968894816462</v>
      </c>
      <c r="D890" s="5">
        <f t="shared" si="39"/>
        <v>4837.4906684449388</v>
      </c>
      <c r="E890" s="5" t="s">
        <v>891</v>
      </c>
    </row>
    <row r="891" spans="1:5" x14ac:dyDescent="0.25">
      <c r="A891" s="6" t="s">
        <v>892</v>
      </c>
      <c r="B891" s="5">
        <f t="shared" si="40"/>
        <v>811085.93540926802</v>
      </c>
      <c r="C891" s="5">
        <f t="shared" si="41"/>
        <v>16221.718708185361</v>
      </c>
      <c r="D891" s="5">
        <f t="shared" si="39"/>
        <v>4866.5156124556079</v>
      </c>
      <c r="E891" s="5" t="s">
        <v>892</v>
      </c>
    </row>
    <row r="892" spans="1:5" x14ac:dyDescent="0.25">
      <c r="A892" s="6" t="s">
        <v>893</v>
      </c>
      <c r="B892" s="5">
        <f t="shared" si="40"/>
        <v>815952.45102172357</v>
      </c>
      <c r="C892" s="5">
        <f t="shared" si="41"/>
        <v>16319.049020434471</v>
      </c>
      <c r="D892" s="5">
        <f t="shared" si="39"/>
        <v>4895.7147061303413</v>
      </c>
      <c r="E892" s="5" t="s">
        <v>893</v>
      </c>
    </row>
    <row r="893" spans="1:5" x14ac:dyDescent="0.25">
      <c r="A893" s="6" t="s">
        <v>894</v>
      </c>
      <c r="B893" s="5">
        <f t="shared" si="40"/>
        <v>820848.16572785389</v>
      </c>
      <c r="C893" s="5">
        <f t="shared" si="41"/>
        <v>16416.963314557077</v>
      </c>
      <c r="D893" s="5">
        <f t="shared" si="39"/>
        <v>4925.0889943671227</v>
      </c>
      <c r="E893" s="5" t="s">
        <v>894</v>
      </c>
    </row>
    <row r="894" spans="1:5" x14ac:dyDescent="0.25">
      <c r="A894" s="6" t="s">
        <v>895</v>
      </c>
      <c r="B894" s="5">
        <f t="shared" si="40"/>
        <v>825773.25472222106</v>
      </c>
      <c r="C894" s="5">
        <f t="shared" si="41"/>
        <v>16515.465094444422</v>
      </c>
      <c r="D894" s="5">
        <f t="shared" si="39"/>
        <v>4954.6395283333268</v>
      </c>
      <c r="E894" s="5" t="s">
        <v>895</v>
      </c>
    </row>
    <row r="895" spans="1:5" x14ac:dyDescent="0.25">
      <c r="A895" s="6" t="s">
        <v>896</v>
      </c>
      <c r="B895" s="5">
        <f t="shared" si="40"/>
        <v>830727.89425055438</v>
      </c>
      <c r="C895" s="5">
        <f t="shared" si="41"/>
        <v>16614.557885011087</v>
      </c>
      <c r="D895" s="5">
        <f t="shared" si="39"/>
        <v>4984.3673655033263</v>
      </c>
      <c r="E895" s="5" t="s">
        <v>896</v>
      </c>
    </row>
    <row r="896" spans="1:5" x14ac:dyDescent="0.25">
      <c r="A896" s="6" t="s">
        <v>897</v>
      </c>
      <c r="B896" s="5">
        <f t="shared" si="40"/>
        <v>835712.26161605772</v>
      </c>
      <c r="C896" s="5">
        <f t="shared" si="41"/>
        <v>16714.245232321155</v>
      </c>
      <c r="D896" s="5">
        <f t="shared" si="39"/>
        <v>5014.2735696963464</v>
      </c>
      <c r="E896" s="5" t="s">
        <v>897</v>
      </c>
    </row>
    <row r="897" spans="1:5" x14ac:dyDescent="0.25">
      <c r="A897" s="6" t="s">
        <v>898</v>
      </c>
      <c r="B897" s="5">
        <f t="shared" si="40"/>
        <v>840726.53518575407</v>
      </c>
      <c r="C897" s="5">
        <f t="shared" si="41"/>
        <v>16814.530703715081</v>
      </c>
      <c r="D897" s="5">
        <f t="shared" si="39"/>
        <v>5044.3592111145244</v>
      </c>
      <c r="E897" s="5" t="s">
        <v>898</v>
      </c>
    </row>
    <row r="898" spans="1:5" x14ac:dyDescent="0.25">
      <c r="A898" s="6" t="s">
        <v>899</v>
      </c>
      <c r="B898" s="5">
        <f t="shared" si="40"/>
        <v>845770.89439686853</v>
      </c>
      <c r="C898" s="5">
        <f t="shared" si="41"/>
        <v>16915.417887937372</v>
      </c>
      <c r="D898" s="5">
        <f t="shared" si="39"/>
        <v>5074.6253663812113</v>
      </c>
      <c r="E898" s="5" t="s">
        <v>899</v>
      </c>
    </row>
    <row r="899" spans="1:5" x14ac:dyDescent="0.25">
      <c r="A899" s="6" t="s">
        <v>900</v>
      </c>
      <c r="B899" s="5">
        <f t="shared" si="40"/>
        <v>850845.51976324979</v>
      </c>
      <c r="C899" s="5">
        <f t="shared" si="41"/>
        <v>17016.910395264997</v>
      </c>
      <c r="D899" s="5">
        <f t="shared" si="39"/>
        <v>5105.0731185794984</v>
      </c>
      <c r="E899" s="5" t="s">
        <v>900</v>
      </c>
    </row>
    <row r="900" spans="1:5" x14ac:dyDescent="0.25">
      <c r="A900" s="6" t="s">
        <v>901</v>
      </c>
      <c r="B900" s="5">
        <f t="shared" si="40"/>
        <v>855950.59288182925</v>
      </c>
      <c r="C900" s="5">
        <f t="shared" si="41"/>
        <v>17119.011857636586</v>
      </c>
      <c r="D900" s="5">
        <f t="shared" si="39"/>
        <v>5135.7035572909754</v>
      </c>
      <c r="E900" s="5" t="s">
        <v>901</v>
      </c>
    </row>
    <row r="901" spans="1:5" x14ac:dyDescent="0.25">
      <c r="A901" s="6" t="s">
        <v>902</v>
      </c>
      <c r="B901" s="5">
        <f t="shared" si="40"/>
        <v>861086.2964391202</v>
      </c>
      <c r="C901" s="5">
        <f t="shared" si="41"/>
        <v>17221.725928782405</v>
      </c>
      <c r="D901" s="5">
        <f t="shared" si="39"/>
        <v>5166.5177786347213</v>
      </c>
      <c r="E901" s="5" t="s">
        <v>902</v>
      </c>
    </row>
    <row r="902" spans="1:5" x14ac:dyDescent="0.25">
      <c r="A902" s="6" t="s">
        <v>903</v>
      </c>
      <c r="B902" s="5">
        <f t="shared" si="40"/>
        <v>866252.81421775487</v>
      </c>
      <c r="C902" s="5">
        <f t="shared" si="41"/>
        <v>17325.056284355098</v>
      </c>
      <c r="D902" s="5">
        <f t="shared" ref="D902:D965" si="42">C902*$B$2*$E$2</f>
        <v>5197.5168853065288</v>
      </c>
      <c r="E902" s="5" t="s">
        <v>903</v>
      </c>
    </row>
    <row r="903" spans="1:5" x14ac:dyDescent="0.25">
      <c r="A903" s="6" t="s">
        <v>904</v>
      </c>
      <c r="B903" s="5">
        <f t="shared" si="40"/>
        <v>871450.33110306144</v>
      </c>
      <c r="C903" s="5">
        <f t="shared" si="41"/>
        <v>17429.006622061228</v>
      </c>
      <c r="D903" s="5">
        <f t="shared" si="42"/>
        <v>5228.7019866183682</v>
      </c>
      <c r="E903" s="5" t="s">
        <v>904</v>
      </c>
    </row>
    <row r="904" spans="1:5" x14ac:dyDescent="0.25">
      <c r="A904" s="6" t="s">
        <v>905</v>
      </c>
      <c r="B904" s="5">
        <f t="shared" si="40"/>
        <v>876679.03308967978</v>
      </c>
      <c r="C904" s="5">
        <f t="shared" si="41"/>
        <v>17533.580661793596</v>
      </c>
      <c r="D904" s="5">
        <f t="shared" si="42"/>
        <v>5260.0741985380782</v>
      </c>
      <c r="E904" s="5" t="s">
        <v>905</v>
      </c>
    </row>
    <row r="905" spans="1:5" x14ac:dyDescent="0.25">
      <c r="A905" s="6" t="s">
        <v>906</v>
      </c>
      <c r="B905" s="5">
        <f t="shared" ref="B905:B968" si="43">B904+D904</f>
        <v>881939.10728821787</v>
      </c>
      <c r="C905" s="5">
        <f t="shared" ref="C905:C968" si="44">B905*$C$2</f>
        <v>17638.782145764359</v>
      </c>
      <c r="D905" s="5">
        <f t="shared" si="42"/>
        <v>5291.6346437293078</v>
      </c>
      <c r="E905" s="5" t="s">
        <v>906</v>
      </c>
    </row>
    <row r="906" spans="1:5" x14ac:dyDescent="0.25">
      <c r="A906" s="6" t="s">
        <v>907</v>
      </c>
      <c r="B906" s="5">
        <f t="shared" si="43"/>
        <v>887230.74193194718</v>
      </c>
      <c r="C906" s="5">
        <f t="shared" si="44"/>
        <v>17744.614838638943</v>
      </c>
      <c r="D906" s="5">
        <f t="shared" si="42"/>
        <v>5323.3844515916826</v>
      </c>
      <c r="E906" s="5" t="s">
        <v>907</v>
      </c>
    </row>
    <row r="907" spans="1:5" x14ac:dyDescent="0.25">
      <c r="A907" s="6" t="s">
        <v>908</v>
      </c>
      <c r="B907" s="5">
        <f t="shared" si="43"/>
        <v>892554.12638353882</v>
      </c>
      <c r="C907" s="5">
        <f t="shared" si="44"/>
        <v>17851.082527670776</v>
      </c>
      <c r="D907" s="5">
        <f t="shared" si="42"/>
        <v>5355.3247583012326</v>
      </c>
      <c r="E907" s="5" t="s">
        <v>908</v>
      </c>
    </row>
    <row r="908" spans="1:5" x14ac:dyDescent="0.25">
      <c r="A908" s="6" t="s">
        <v>909</v>
      </c>
      <c r="B908" s="5">
        <f t="shared" si="43"/>
        <v>897909.45114184008</v>
      </c>
      <c r="C908" s="5">
        <f t="shared" si="44"/>
        <v>17958.189022836803</v>
      </c>
      <c r="D908" s="5">
        <f t="shared" si="42"/>
        <v>5387.4567068510405</v>
      </c>
      <c r="E908" s="5" t="s">
        <v>909</v>
      </c>
    </row>
    <row r="909" spans="1:5" x14ac:dyDescent="0.25">
      <c r="A909" s="6" t="s">
        <v>910</v>
      </c>
      <c r="B909" s="5">
        <f t="shared" si="43"/>
        <v>903296.9078486911</v>
      </c>
      <c r="C909" s="5">
        <f t="shared" si="44"/>
        <v>18065.938156973822</v>
      </c>
      <c r="D909" s="5">
        <f t="shared" si="42"/>
        <v>5419.7814470921467</v>
      </c>
      <c r="E909" s="5" t="s">
        <v>910</v>
      </c>
    </row>
    <row r="910" spans="1:5" x14ac:dyDescent="0.25">
      <c r="A910" s="6" t="s">
        <v>911</v>
      </c>
      <c r="B910" s="5">
        <f t="shared" si="43"/>
        <v>908716.68929578329</v>
      </c>
      <c r="C910" s="5">
        <f t="shared" si="44"/>
        <v>18174.333785915667</v>
      </c>
      <c r="D910" s="5">
        <f t="shared" si="42"/>
        <v>5452.3001357746998</v>
      </c>
      <c r="E910" s="5" t="s">
        <v>911</v>
      </c>
    </row>
    <row r="911" spans="1:5" x14ac:dyDescent="0.25">
      <c r="A911" s="6" t="s">
        <v>912</v>
      </c>
      <c r="B911" s="5">
        <f t="shared" si="43"/>
        <v>914168.98943155794</v>
      </c>
      <c r="C911" s="5">
        <f t="shared" si="44"/>
        <v>18283.379788631159</v>
      </c>
      <c r="D911" s="5">
        <f t="shared" si="42"/>
        <v>5485.0139365893474</v>
      </c>
      <c r="E911" s="5" t="s">
        <v>912</v>
      </c>
    </row>
    <row r="912" spans="1:5" x14ac:dyDescent="0.25">
      <c r="A912" s="6" t="s">
        <v>913</v>
      </c>
      <c r="B912" s="5">
        <f t="shared" si="43"/>
        <v>919654.0033681473</v>
      </c>
      <c r="C912" s="5">
        <f t="shared" si="44"/>
        <v>18393.080067362946</v>
      </c>
      <c r="D912" s="5">
        <f t="shared" si="42"/>
        <v>5517.9240202088831</v>
      </c>
      <c r="E912" s="5" t="s">
        <v>913</v>
      </c>
    </row>
    <row r="913" spans="1:5" x14ac:dyDescent="0.25">
      <c r="A913" s="6" t="s">
        <v>914</v>
      </c>
      <c r="B913" s="5">
        <f t="shared" si="43"/>
        <v>925171.92738835618</v>
      </c>
      <c r="C913" s="5">
        <f t="shared" si="44"/>
        <v>18503.438547767124</v>
      </c>
      <c r="D913" s="5">
        <f t="shared" si="42"/>
        <v>5551.0315643301374</v>
      </c>
      <c r="E913" s="5" t="s">
        <v>914</v>
      </c>
    </row>
    <row r="914" spans="1:5" x14ac:dyDescent="0.25">
      <c r="A914" s="6" t="s">
        <v>915</v>
      </c>
      <c r="B914" s="5">
        <f t="shared" si="43"/>
        <v>930722.95895268628</v>
      </c>
      <c r="C914" s="5">
        <f t="shared" si="44"/>
        <v>18614.459179053727</v>
      </c>
      <c r="D914" s="5">
        <f t="shared" si="42"/>
        <v>5584.3377537161177</v>
      </c>
      <c r="E914" s="5" t="s">
        <v>915</v>
      </c>
    </row>
    <row r="915" spans="1:5" x14ac:dyDescent="0.25">
      <c r="A915" s="6" t="s">
        <v>916</v>
      </c>
      <c r="B915" s="5">
        <f t="shared" si="43"/>
        <v>936307.29670640244</v>
      </c>
      <c r="C915" s="5">
        <f t="shared" si="44"/>
        <v>18726.14593412805</v>
      </c>
      <c r="D915" s="5">
        <f t="shared" si="42"/>
        <v>5617.8437802384151</v>
      </c>
      <c r="E915" s="5" t="s">
        <v>916</v>
      </c>
    </row>
    <row r="916" spans="1:5" x14ac:dyDescent="0.25">
      <c r="A916" s="6" t="s">
        <v>917</v>
      </c>
      <c r="B916" s="5">
        <f t="shared" si="43"/>
        <v>941925.14048664086</v>
      </c>
      <c r="C916" s="5">
        <f t="shared" si="44"/>
        <v>18838.502809732818</v>
      </c>
      <c r="D916" s="5">
        <f t="shared" si="42"/>
        <v>5651.5508429198453</v>
      </c>
      <c r="E916" s="5" t="s">
        <v>917</v>
      </c>
    </row>
    <row r="917" spans="1:5" x14ac:dyDescent="0.25">
      <c r="A917" s="6" t="s">
        <v>918</v>
      </c>
      <c r="B917" s="5">
        <f t="shared" si="43"/>
        <v>947576.69132956071</v>
      </c>
      <c r="C917" s="5">
        <f t="shared" si="44"/>
        <v>18951.533826591214</v>
      </c>
      <c r="D917" s="5">
        <f t="shared" si="42"/>
        <v>5685.4601479773637</v>
      </c>
      <c r="E917" s="5" t="s">
        <v>918</v>
      </c>
    </row>
    <row r="918" spans="1:5" x14ac:dyDescent="0.25">
      <c r="A918" s="6" t="s">
        <v>919</v>
      </c>
      <c r="B918" s="5">
        <f t="shared" si="43"/>
        <v>953262.15147753805</v>
      </c>
      <c r="C918" s="5">
        <f t="shared" si="44"/>
        <v>19065.243029550762</v>
      </c>
      <c r="D918" s="5">
        <f t="shared" si="42"/>
        <v>5719.5729088652288</v>
      </c>
      <c r="E918" s="5" t="s">
        <v>919</v>
      </c>
    </row>
    <row r="919" spans="1:5" x14ac:dyDescent="0.25">
      <c r="A919" s="6" t="s">
        <v>920</v>
      </c>
      <c r="B919" s="5">
        <f t="shared" si="43"/>
        <v>958981.72438640322</v>
      </c>
      <c r="C919" s="5">
        <f t="shared" si="44"/>
        <v>19179.634487728064</v>
      </c>
      <c r="D919" s="5">
        <f t="shared" si="42"/>
        <v>5753.8903463184188</v>
      </c>
      <c r="E919" s="5" t="s">
        <v>920</v>
      </c>
    </row>
    <row r="920" spans="1:5" x14ac:dyDescent="0.25">
      <c r="A920" s="6" t="s">
        <v>921</v>
      </c>
      <c r="B920" s="5">
        <f t="shared" si="43"/>
        <v>964735.61473272159</v>
      </c>
      <c r="C920" s="5">
        <f t="shared" si="44"/>
        <v>19294.712294654433</v>
      </c>
      <c r="D920" s="5">
        <f t="shared" si="42"/>
        <v>5788.4136883963301</v>
      </c>
      <c r="E920" s="5" t="s">
        <v>921</v>
      </c>
    </row>
    <row r="921" spans="1:5" x14ac:dyDescent="0.25">
      <c r="A921" s="6" t="s">
        <v>922</v>
      </c>
      <c r="B921" s="5">
        <f t="shared" si="43"/>
        <v>970524.02842111792</v>
      </c>
      <c r="C921" s="5">
        <f t="shared" si="44"/>
        <v>19410.480568422357</v>
      </c>
      <c r="D921" s="5">
        <f t="shared" si="42"/>
        <v>5823.1441705267071</v>
      </c>
      <c r="E921" s="5" t="s">
        <v>922</v>
      </c>
    </row>
    <row r="922" spans="1:5" x14ac:dyDescent="0.25">
      <c r="A922" s="6" t="s">
        <v>923</v>
      </c>
      <c r="B922" s="5">
        <f t="shared" si="43"/>
        <v>976347.17259164469</v>
      </c>
      <c r="C922" s="5">
        <f t="shared" si="44"/>
        <v>19526.943451832893</v>
      </c>
      <c r="D922" s="5">
        <f t="shared" si="42"/>
        <v>5858.0830355498674</v>
      </c>
      <c r="E922" s="5" t="s">
        <v>923</v>
      </c>
    </row>
    <row r="923" spans="1:5" x14ac:dyDescent="0.25">
      <c r="A923" s="6" t="s">
        <v>924</v>
      </c>
      <c r="B923" s="5">
        <f t="shared" si="43"/>
        <v>982205.25562719454</v>
      </c>
      <c r="C923" s="5">
        <f t="shared" si="44"/>
        <v>19644.10511254389</v>
      </c>
      <c r="D923" s="5">
        <f t="shared" si="42"/>
        <v>5893.2315337631671</v>
      </c>
      <c r="E923" s="5" t="s">
        <v>924</v>
      </c>
    </row>
    <row r="924" spans="1:5" x14ac:dyDescent="0.25">
      <c r="A924" s="6" t="s">
        <v>925</v>
      </c>
      <c r="B924" s="5">
        <f t="shared" si="43"/>
        <v>988098.48716095765</v>
      </c>
      <c r="C924" s="5">
        <f t="shared" si="44"/>
        <v>19761.969743219153</v>
      </c>
      <c r="D924" s="5">
        <f t="shared" si="42"/>
        <v>5928.5909229657454</v>
      </c>
      <c r="E924" s="5" t="s">
        <v>925</v>
      </c>
    </row>
    <row r="925" spans="1:5" x14ac:dyDescent="0.25">
      <c r="A925" s="6" t="s">
        <v>926</v>
      </c>
      <c r="B925" s="5">
        <f t="shared" si="43"/>
        <v>994027.07808392344</v>
      </c>
      <c r="C925" s="5">
        <f t="shared" si="44"/>
        <v>19880.54156167847</v>
      </c>
      <c r="D925" s="5">
        <f t="shared" si="42"/>
        <v>5964.1624685035413</v>
      </c>
      <c r="E925" s="5" t="s">
        <v>926</v>
      </c>
    </row>
    <row r="926" spans="1:5" x14ac:dyDescent="0.25">
      <c r="A926" s="6" t="s">
        <v>927</v>
      </c>
      <c r="B926" s="5">
        <f t="shared" si="43"/>
        <v>999991.24055242701</v>
      </c>
      <c r="C926" s="5">
        <f t="shared" si="44"/>
        <v>19999.82481104854</v>
      </c>
      <c r="D926" s="5">
        <f t="shared" si="42"/>
        <v>5999.9474433145615</v>
      </c>
      <c r="E926" s="5" t="s">
        <v>927</v>
      </c>
    </row>
    <row r="927" spans="1:5" x14ac:dyDescent="0.25">
      <c r="A927" s="6" t="s">
        <v>928</v>
      </c>
      <c r="B927" s="5">
        <f t="shared" si="43"/>
        <v>1005991.1879957416</v>
      </c>
      <c r="C927" s="5">
        <f t="shared" si="44"/>
        <v>20119.823759914834</v>
      </c>
      <c r="D927" s="5">
        <f t="shared" si="42"/>
        <v>6035.9471279744503</v>
      </c>
      <c r="E927" s="5" t="s">
        <v>928</v>
      </c>
    </row>
    <row r="928" spans="1:5" x14ac:dyDescent="0.25">
      <c r="A928" s="6" t="s">
        <v>929</v>
      </c>
      <c r="B928" s="5">
        <f t="shared" si="43"/>
        <v>1012027.1351237161</v>
      </c>
      <c r="C928" s="5">
        <f t="shared" si="44"/>
        <v>20240.542702474322</v>
      </c>
      <c r="D928" s="5">
        <f t="shared" si="42"/>
        <v>6072.1628107422966</v>
      </c>
      <c r="E928" s="5" t="s">
        <v>929</v>
      </c>
    </row>
    <row r="929" spans="1:5" x14ac:dyDescent="0.25">
      <c r="A929" s="6" t="s">
        <v>930</v>
      </c>
      <c r="B929" s="5">
        <f t="shared" si="43"/>
        <v>1018099.2979344584</v>
      </c>
      <c r="C929" s="5">
        <f t="shared" si="44"/>
        <v>20361.985958689169</v>
      </c>
      <c r="D929" s="5">
        <f t="shared" si="42"/>
        <v>6108.5957876067505</v>
      </c>
      <c r="E929" s="5" t="s">
        <v>930</v>
      </c>
    </row>
    <row r="930" spans="1:5" x14ac:dyDescent="0.25">
      <c r="A930" s="6" t="s">
        <v>931</v>
      </c>
      <c r="B930" s="5">
        <f t="shared" si="43"/>
        <v>1024207.8937220651</v>
      </c>
      <c r="C930" s="5">
        <f t="shared" si="44"/>
        <v>20484.157874441302</v>
      </c>
      <c r="D930" s="5">
        <f t="shared" si="42"/>
        <v>6145.2473623323904</v>
      </c>
      <c r="E930" s="5" t="s">
        <v>931</v>
      </c>
    </row>
    <row r="931" spans="1:5" x14ac:dyDescent="0.25">
      <c r="A931" s="6" t="s">
        <v>932</v>
      </c>
      <c r="B931" s="5">
        <f t="shared" si="43"/>
        <v>1030353.1410843976</v>
      </c>
      <c r="C931" s="5">
        <f t="shared" si="44"/>
        <v>20607.062821687952</v>
      </c>
      <c r="D931" s="5">
        <f t="shared" si="42"/>
        <v>6182.1188465063851</v>
      </c>
      <c r="E931" s="5" t="s">
        <v>932</v>
      </c>
    </row>
    <row r="932" spans="1:5" x14ac:dyDescent="0.25">
      <c r="A932" s="6" t="s">
        <v>933</v>
      </c>
      <c r="B932" s="5">
        <f t="shared" si="43"/>
        <v>1036535.2599309039</v>
      </c>
      <c r="C932" s="5">
        <f t="shared" si="44"/>
        <v>20730.705198618078</v>
      </c>
      <c r="D932" s="5">
        <f t="shared" si="42"/>
        <v>6219.2115595854229</v>
      </c>
      <c r="E932" s="5" t="s">
        <v>933</v>
      </c>
    </row>
    <row r="933" spans="1:5" x14ac:dyDescent="0.25">
      <c r="A933" s="6" t="s">
        <v>934</v>
      </c>
      <c r="B933" s="5">
        <f t="shared" si="43"/>
        <v>1042754.4714904893</v>
      </c>
      <c r="C933" s="5">
        <f t="shared" si="44"/>
        <v>20855.089429809788</v>
      </c>
      <c r="D933" s="5">
        <f t="shared" si="42"/>
        <v>6256.5268289429359</v>
      </c>
      <c r="E933" s="5" t="s">
        <v>934</v>
      </c>
    </row>
    <row r="934" spans="1:5" x14ac:dyDescent="0.25">
      <c r="A934" s="6" t="s">
        <v>935</v>
      </c>
      <c r="B934" s="5">
        <f t="shared" si="43"/>
        <v>1049010.9983194321</v>
      </c>
      <c r="C934" s="5">
        <f t="shared" si="44"/>
        <v>20980.219966388642</v>
      </c>
      <c r="D934" s="5">
        <f t="shared" si="42"/>
        <v>6294.0659899165921</v>
      </c>
      <c r="E934" s="5" t="s">
        <v>935</v>
      </c>
    </row>
    <row r="935" spans="1:5" x14ac:dyDescent="0.25">
      <c r="A935" s="6" t="s">
        <v>936</v>
      </c>
      <c r="B935" s="5">
        <f t="shared" si="43"/>
        <v>1055305.0643093488</v>
      </c>
      <c r="C935" s="5">
        <f t="shared" si="44"/>
        <v>21106.101286186979</v>
      </c>
      <c r="D935" s="5">
        <f t="shared" si="42"/>
        <v>6331.830385856093</v>
      </c>
      <c r="E935" s="5" t="s">
        <v>936</v>
      </c>
    </row>
    <row r="936" spans="1:5" x14ac:dyDescent="0.25">
      <c r="A936" s="6" t="s">
        <v>937</v>
      </c>
      <c r="B936" s="5">
        <f t="shared" si="43"/>
        <v>1061636.8946952049</v>
      </c>
      <c r="C936" s="5">
        <f t="shared" si="44"/>
        <v>21232.737893904097</v>
      </c>
      <c r="D936" s="5">
        <f t="shared" si="42"/>
        <v>6369.8213681712286</v>
      </c>
      <c r="E936" s="5" t="s">
        <v>937</v>
      </c>
    </row>
    <row r="937" spans="1:5" x14ac:dyDescent="0.25">
      <c r="A937" s="6" t="s">
        <v>938</v>
      </c>
      <c r="B937" s="5">
        <f t="shared" si="43"/>
        <v>1068006.7160633761</v>
      </c>
      <c r="C937" s="5">
        <f t="shared" si="44"/>
        <v>21360.13432126752</v>
      </c>
      <c r="D937" s="5">
        <f t="shared" si="42"/>
        <v>6408.0402963802562</v>
      </c>
      <c r="E937" s="5" t="s">
        <v>938</v>
      </c>
    </row>
    <row r="938" spans="1:5" x14ac:dyDescent="0.25">
      <c r="A938" s="6" t="s">
        <v>939</v>
      </c>
      <c r="B938" s="5">
        <f t="shared" si="43"/>
        <v>1074414.7563597562</v>
      </c>
      <c r="C938" s="5">
        <f t="shared" si="44"/>
        <v>21488.295127195124</v>
      </c>
      <c r="D938" s="5">
        <f t="shared" si="42"/>
        <v>6446.4885381585373</v>
      </c>
      <c r="E938" s="5" t="s">
        <v>939</v>
      </c>
    </row>
    <row r="939" spans="1:5" x14ac:dyDescent="0.25">
      <c r="A939" s="6" t="s">
        <v>940</v>
      </c>
      <c r="B939" s="5">
        <f t="shared" si="43"/>
        <v>1080861.2448979148</v>
      </c>
      <c r="C939" s="5">
        <f t="shared" si="44"/>
        <v>21617.224897958298</v>
      </c>
      <c r="D939" s="5">
        <f t="shared" si="42"/>
        <v>6485.1674693874893</v>
      </c>
      <c r="E939" s="5" t="s">
        <v>940</v>
      </c>
    </row>
    <row r="940" spans="1:5" x14ac:dyDescent="0.25">
      <c r="A940" s="6" t="s">
        <v>941</v>
      </c>
      <c r="B940" s="5">
        <f t="shared" si="43"/>
        <v>1087346.4123673022</v>
      </c>
      <c r="C940" s="5">
        <f t="shared" si="44"/>
        <v>21746.928247346044</v>
      </c>
      <c r="D940" s="5">
        <f t="shared" si="42"/>
        <v>6524.0784742038131</v>
      </c>
      <c r="E940" s="5" t="s">
        <v>941</v>
      </c>
    </row>
    <row r="941" spans="1:5" x14ac:dyDescent="0.25">
      <c r="A941" s="6" t="s">
        <v>942</v>
      </c>
      <c r="B941" s="5">
        <f t="shared" si="43"/>
        <v>1093870.490841506</v>
      </c>
      <c r="C941" s="5">
        <f t="shared" si="44"/>
        <v>21877.409816830121</v>
      </c>
      <c r="D941" s="5">
        <f t="shared" si="42"/>
        <v>6563.2229450490358</v>
      </c>
      <c r="E941" s="5" t="s">
        <v>942</v>
      </c>
    </row>
    <row r="942" spans="1:5" x14ac:dyDescent="0.25">
      <c r="A942" s="6" t="s">
        <v>943</v>
      </c>
      <c r="B942" s="5">
        <f t="shared" si="43"/>
        <v>1100433.713786555</v>
      </c>
      <c r="C942" s="5">
        <f t="shared" si="44"/>
        <v>22008.6742757311</v>
      </c>
      <c r="D942" s="5">
        <f t="shared" si="42"/>
        <v>6602.6022827193301</v>
      </c>
      <c r="E942" s="5" t="s">
        <v>943</v>
      </c>
    </row>
    <row r="943" spans="1:5" x14ac:dyDescent="0.25">
      <c r="A943" s="6" t="s">
        <v>944</v>
      </c>
      <c r="B943" s="5">
        <f t="shared" si="43"/>
        <v>1107036.3160692742</v>
      </c>
      <c r="C943" s="5">
        <f t="shared" si="44"/>
        <v>22140.726321385486</v>
      </c>
      <c r="D943" s="5">
        <f t="shared" si="42"/>
        <v>6642.2178964156456</v>
      </c>
      <c r="E943" s="5" t="s">
        <v>944</v>
      </c>
    </row>
    <row r="944" spans="1:5" x14ac:dyDescent="0.25">
      <c r="A944" s="6" t="s">
        <v>945</v>
      </c>
      <c r="B944" s="5">
        <f t="shared" si="43"/>
        <v>1113678.5339656898</v>
      </c>
      <c r="C944" s="5">
        <f t="shared" si="44"/>
        <v>22273.570679313798</v>
      </c>
      <c r="D944" s="5">
        <f t="shared" si="42"/>
        <v>6682.0712037941394</v>
      </c>
      <c r="E944" s="5" t="s">
        <v>945</v>
      </c>
    </row>
    <row r="945" spans="1:5" x14ac:dyDescent="0.25">
      <c r="A945" s="6" t="s">
        <v>946</v>
      </c>
      <c r="B945" s="5">
        <f t="shared" si="43"/>
        <v>1120360.6051694839</v>
      </c>
      <c r="C945" s="5">
        <f t="shared" si="44"/>
        <v>22407.21210338968</v>
      </c>
      <c r="D945" s="5">
        <f t="shared" si="42"/>
        <v>6722.1636310169042</v>
      </c>
      <c r="E945" s="5" t="s">
        <v>946</v>
      </c>
    </row>
    <row r="946" spans="1:5" x14ac:dyDescent="0.25">
      <c r="A946" s="6" t="s">
        <v>947</v>
      </c>
      <c r="B946" s="5">
        <f t="shared" si="43"/>
        <v>1127082.7688005008</v>
      </c>
      <c r="C946" s="5">
        <f t="shared" si="44"/>
        <v>22541.655376010018</v>
      </c>
      <c r="D946" s="5">
        <f t="shared" si="42"/>
        <v>6762.4966128030055</v>
      </c>
      <c r="E946" s="5" t="s">
        <v>947</v>
      </c>
    </row>
    <row r="947" spans="1:5" x14ac:dyDescent="0.25">
      <c r="A947" s="6" t="s">
        <v>948</v>
      </c>
      <c r="B947" s="5">
        <f t="shared" si="43"/>
        <v>1133845.2654133039</v>
      </c>
      <c r="C947" s="5">
        <f t="shared" si="44"/>
        <v>22676.905308266079</v>
      </c>
      <c r="D947" s="5">
        <f t="shared" si="42"/>
        <v>6803.0715924798233</v>
      </c>
      <c r="E947" s="5" t="s">
        <v>948</v>
      </c>
    </row>
    <row r="948" spans="1:5" x14ac:dyDescent="0.25">
      <c r="A948" s="6" t="s">
        <v>949</v>
      </c>
      <c r="B948" s="5">
        <f t="shared" si="43"/>
        <v>1140648.3370057836</v>
      </c>
      <c r="C948" s="5">
        <f t="shared" si="44"/>
        <v>22812.966740115673</v>
      </c>
      <c r="D948" s="5">
        <f t="shared" si="42"/>
        <v>6843.8900220347014</v>
      </c>
      <c r="E948" s="5" t="s">
        <v>949</v>
      </c>
    </row>
    <row r="949" spans="1:5" x14ac:dyDescent="0.25">
      <c r="A949" s="6" t="s">
        <v>950</v>
      </c>
      <c r="B949" s="5">
        <f t="shared" si="43"/>
        <v>1147492.2270278183</v>
      </c>
      <c r="C949" s="5">
        <f t="shared" si="44"/>
        <v>22949.844540556365</v>
      </c>
      <c r="D949" s="5">
        <f t="shared" si="42"/>
        <v>6884.9533621669098</v>
      </c>
      <c r="E949" s="5" t="s">
        <v>950</v>
      </c>
    </row>
    <row r="950" spans="1:5" x14ac:dyDescent="0.25">
      <c r="A950" s="6" t="s">
        <v>951</v>
      </c>
      <c r="B950" s="5">
        <f t="shared" si="43"/>
        <v>1154377.1803899852</v>
      </c>
      <c r="C950" s="5">
        <f t="shared" si="44"/>
        <v>23087.543607799704</v>
      </c>
      <c r="D950" s="5">
        <f t="shared" si="42"/>
        <v>6926.2630823399113</v>
      </c>
      <c r="E950" s="5" t="s">
        <v>951</v>
      </c>
    </row>
    <row r="951" spans="1:5" x14ac:dyDescent="0.25">
      <c r="A951" s="6" t="s">
        <v>952</v>
      </c>
      <c r="B951" s="5">
        <f t="shared" si="43"/>
        <v>1161303.4434723251</v>
      </c>
      <c r="C951" s="5">
        <f t="shared" si="44"/>
        <v>23226.068869446503</v>
      </c>
      <c r="D951" s="5">
        <f t="shared" si="42"/>
        <v>6967.8206608339506</v>
      </c>
      <c r="E951" s="5" t="s">
        <v>952</v>
      </c>
    </row>
    <row r="952" spans="1:5" x14ac:dyDescent="0.25">
      <c r="A952" s="6" t="s">
        <v>953</v>
      </c>
      <c r="B952" s="5">
        <f t="shared" si="43"/>
        <v>1168271.2641331591</v>
      </c>
      <c r="C952" s="5">
        <f t="shared" si="44"/>
        <v>23365.425282663182</v>
      </c>
      <c r="D952" s="5">
        <f t="shared" si="42"/>
        <v>7009.6275847989546</v>
      </c>
      <c r="E952" s="5" t="s">
        <v>953</v>
      </c>
    </row>
    <row r="953" spans="1:5" x14ac:dyDescent="0.25">
      <c r="A953" s="6" t="s">
        <v>954</v>
      </c>
      <c r="B953" s="5">
        <f t="shared" si="43"/>
        <v>1175280.891717958</v>
      </c>
      <c r="C953" s="5">
        <f t="shared" si="44"/>
        <v>23505.61783435916</v>
      </c>
      <c r="D953" s="5">
        <f t="shared" si="42"/>
        <v>7051.6853503077482</v>
      </c>
      <c r="E953" s="5" t="s">
        <v>954</v>
      </c>
    </row>
    <row r="954" spans="1:5" x14ac:dyDescent="0.25">
      <c r="A954" s="6" t="s">
        <v>955</v>
      </c>
      <c r="B954" s="5">
        <f t="shared" si="43"/>
        <v>1182332.5770682658</v>
      </c>
      <c r="C954" s="5">
        <f t="shared" si="44"/>
        <v>23646.651541365314</v>
      </c>
      <c r="D954" s="5">
        <f t="shared" si="42"/>
        <v>7093.9954624095944</v>
      </c>
      <c r="E954" s="5" t="s">
        <v>955</v>
      </c>
    </row>
    <row r="955" spans="1:5" x14ac:dyDescent="0.25">
      <c r="A955" s="6" t="s">
        <v>956</v>
      </c>
      <c r="B955" s="5">
        <f t="shared" si="43"/>
        <v>1189426.5725306754</v>
      </c>
      <c r="C955" s="5">
        <f t="shared" si="44"/>
        <v>23788.531450613511</v>
      </c>
      <c r="D955" s="5">
        <f t="shared" si="42"/>
        <v>7136.5594351840527</v>
      </c>
      <c r="E955" s="5" t="s">
        <v>956</v>
      </c>
    </row>
    <row r="956" spans="1:5" x14ac:dyDescent="0.25">
      <c r="A956" s="6" t="s">
        <v>957</v>
      </c>
      <c r="B956" s="5">
        <f t="shared" si="43"/>
        <v>1196563.1319658596</v>
      </c>
      <c r="C956" s="5">
        <f t="shared" si="44"/>
        <v>23931.262639317192</v>
      </c>
      <c r="D956" s="5">
        <f t="shared" si="42"/>
        <v>7179.3787917951577</v>
      </c>
      <c r="E956" s="5" t="s">
        <v>957</v>
      </c>
    </row>
    <row r="957" spans="1:5" x14ac:dyDescent="0.25">
      <c r="A957" s="6" t="s">
        <v>958</v>
      </c>
      <c r="B957" s="5">
        <f t="shared" si="43"/>
        <v>1203742.5107576547</v>
      </c>
      <c r="C957" s="5">
        <f t="shared" si="44"/>
        <v>24074.850215153096</v>
      </c>
      <c r="D957" s="5">
        <f t="shared" si="42"/>
        <v>7222.4550645459285</v>
      </c>
      <c r="E957" s="5" t="s">
        <v>958</v>
      </c>
    </row>
    <row r="958" spans="1:5" x14ac:dyDescent="0.25">
      <c r="A958" s="6" t="s">
        <v>959</v>
      </c>
      <c r="B958" s="5">
        <f t="shared" si="43"/>
        <v>1210964.9658222005</v>
      </c>
      <c r="C958" s="5">
        <f t="shared" si="44"/>
        <v>24219.299316444012</v>
      </c>
      <c r="D958" s="5">
        <f t="shared" si="42"/>
        <v>7265.7897949332037</v>
      </c>
      <c r="E958" s="5" t="s">
        <v>959</v>
      </c>
    </row>
    <row r="959" spans="1:5" x14ac:dyDescent="0.25">
      <c r="A959" s="6" t="s">
        <v>960</v>
      </c>
      <c r="B959" s="5">
        <f t="shared" si="43"/>
        <v>1218230.7556171338</v>
      </c>
      <c r="C959" s="5">
        <f t="shared" si="44"/>
        <v>24364.615112342675</v>
      </c>
      <c r="D959" s="5">
        <f t="shared" si="42"/>
        <v>7309.3845337028024</v>
      </c>
      <c r="E959" s="5" t="s">
        <v>960</v>
      </c>
    </row>
    <row r="960" spans="1:5" x14ac:dyDescent="0.25">
      <c r="A960" s="6" t="s">
        <v>961</v>
      </c>
      <c r="B960" s="5">
        <f t="shared" si="43"/>
        <v>1225540.1401508367</v>
      </c>
      <c r="C960" s="5">
        <f t="shared" si="44"/>
        <v>24510.802803016733</v>
      </c>
      <c r="D960" s="5">
        <f t="shared" si="42"/>
        <v>7353.2408409050195</v>
      </c>
      <c r="E960" s="5" t="s">
        <v>961</v>
      </c>
    </row>
    <row r="961" spans="1:5" x14ac:dyDescent="0.25">
      <c r="A961" s="6" t="s">
        <v>962</v>
      </c>
      <c r="B961" s="5">
        <f t="shared" si="43"/>
        <v>1232893.3809917418</v>
      </c>
      <c r="C961" s="5">
        <f t="shared" si="44"/>
        <v>24657.867619834837</v>
      </c>
      <c r="D961" s="5">
        <f t="shared" si="42"/>
        <v>7397.3602859504508</v>
      </c>
      <c r="E961" s="5" t="s">
        <v>962</v>
      </c>
    </row>
    <row r="962" spans="1:5" x14ac:dyDescent="0.25">
      <c r="A962" s="6" t="s">
        <v>963</v>
      </c>
      <c r="B962" s="5">
        <f t="shared" si="43"/>
        <v>1240290.7412776921</v>
      </c>
      <c r="C962" s="5">
        <f t="shared" si="44"/>
        <v>24805.814825553844</v>
      </c>
      <c r="D962" s="5">
        <f t="shared" si="42"/>
        <v>7441.7444476661531</v>
      </c>
      <c r="E962" s="5" t="s">
        <v>963</v>
      </c>
    </row>
    <row r="963" spans="1:5" x14ac:dyDescent="0.25">
      <c r="A963" s="6" t="s">
        <v>964</v>
      </c>
      <c r="B963" s="5">
        <f t="shared" si="43"/>
        <v>1247732.4857253584</v>
      </c>
      <c r="C963" s="5">
        <f t="shared" si="44"/>
        <v>24954.649714507166</v>
      </c>
      <c r="D963" s="5">
        <f t="shared" si="42"/>
        <v>7486.3949143521495</v>
      </c>
      <c r="E963" s="5" t="s">
        <v>964</v>
      </c>
    </row>
    <row r="964" spans="1:5" x14ac:dyDescent="0.25">
      <c r="A964" s="6" t="s">
        <v>965</v>
      </c>
      <c r="B964" s="5">
        <f t="shared" si="43"/>
        <v>1255218.8806397105</v>
      </c>
      <c r="C964" s="5">
        <f t="shared" si="44"/>
        <v>25104.377612794211</v>
      </c>
      <c r="D964" s="5">
        <f t="shared" si="42"/>
        <v>7531.3132838382626</v>
      </c>
      <c r="E964" s="5" t="s">
        <v>965</v>
      </c>
    </row>
    <row r="965" spans="1:5" x14ac:dyDescent="0.25">
      <c r="A965" s="6" t="s">
        <v>966</v>
      </c>
      <c r="B965" s="5">
        <f t="shared" si="43"/>
        <v>1262750.1939235488</v>
      </c>
      <c r="C965" s="5">
        <f t="shared" si="44"/>
        <v>25255.003878470976</v>
      </c>
      <c r="D965" s="5">
        <f t="shared" si="42"/>
        <v>7576.501163541292</v>
      </c>
      <c r="E965" s="5" t="s">
        <v>966</v>
      </c>
    </row>
    <row r="966" spans="1:5" x14ac:dyDescent="0.25">
      <c r="A966" s="6" t="s">
        <v>967</v>
      </c>
      <c r="B966" s="5">
        <f t="shared" si="43"/>
        <v>1270326.6950870901</v>
      </c>
      <c r="C966" s="5">
        <f t="shared" si="44"/>
        <v>25406.533901741805</v>
      </c>
      <c r="D966" s="5">
        <f t="shared" ref="D966:D1029" si="45">C966*$B$2*$E$2</f>
        <v>7621.9601705225414</v>
      </c>
      <c r="E966" s="5" t="s">
        <v>967</v>
      </c>
    </row>
    <row r="967" spans="1:5" x14ac:dyDescent="0.25">
      <c r="A967" s="6" t="s">
        <v>968</v>
      </c>
      <c r="B967" s="5">
        <f t="shared" si="43"/>
        <v>1277948.6552576127</v>
      </c>
      <c r="C967" s="5">
        <f t="shared" si="44"/>
        <v>25558.973105152254</v>
      </c>
      <c r="D967" s="5">
        <f t="shared" si="45"/>
        <v>7667.6919315456762</v>
      </c>
      <c r="E967" s="5" t="s">
        <v>968</v>
      </c>
    </row>
    <row r="968" spans="1:5" x14ac:dyDescent="0.25">
      <c r="A968" s="6" t="s">
        <v>969</v>
      </c>
      <c r="B968" s="5">
        <f t="shared" si="43"/>
        <v>1285616.3471891584</v>
      </c>
      <c r="C968" s="5">
        <f t="shared" si="44"/>
        <v>25712.32694378317</v>
      </c>
      <c r="D968" s="5">
        <f t="shared" si="45"/>
        <v>7713.6980831349501</v>
      </c>
      <c r="E968" s="5" t="s">
        <v>969</v>
      </c>
    </row>
    <row r="969" spans="1:5" x14ac:dyDescent="0.25">
      <c r="A969" s="6" t="s">
        <v>970</v>
      </c>
      <c r="B969" s="5">
        <f t="shared" ref="B969:B1032" si="46">B968+D968</f>
        <v>1293330.0452722935</v>
      </c>
      <c r="C969" s="5">
        <f t="shared" ref="C969:C1032" si="47">B969*$C$2</f>
        <v>25866.60090544587</v>
      </c>
      <c r="D969" s="5">
        <f t="shared" si="45"/>
        <v>7759.9802716337608</v>
      </c>
      <c r="E969" s="5" t="s">
        <v>970</v>
      </c>
    </row>
    <row r="970" spans="1:5" x14ac:dyDescent="0.25">
      <c r="A970" s="6" t="s">
        <v>971</v>
      </c>
      <c r="B970" s="5">
        <f t="shared" si="46"/>
        <v>1301090.0255439272</v>
      </c>
      <c r="C970" s="5">
        <f t="shared" si="47"/>
        <v>26021.800510878544</v>
      </c>
      <c r="D970" s="5">
        <f t="shared" si="45"/>
        <v>7806.5401532635624</v>
      </c>
      <c r="E970" s="5" t="s">
        <v>971</v>
      </c>
    </row>
    <row r="971" spans="1:5" x14ac:dyDescent="0.25">
      <c r="A971" s="6" t="s">
        <v>972</v>
      </c>
      <c r="B971" s="5">
        <f t="shared" si="46"/>
        <v>1308896.5656971908</v>
      </c>
      <c r="C971" s="5">
        <f t="shared" si="47"/>
        <v>26177.931313943816</v>
      </c>
      <c r="D971" s="5">
        <f t="shared" si="45"/>
        <v>7853.3793941831445</v>
      </c>
      <c r="E971" s="5" t="s">
        <v>972</v>
      </c>
    </row>
    <row r="972" spans="1:5" x14ac:dyDescent="0.25">
      <c r="A972" s="6" t="s">
        <v>973</v>
      </c>
      <c r="B972" s="5">
        <f t="shared" si="46"/>
        <v>1316749.945091374</v>
      </c>
      <c r="C972" s="5">
        <f t="shared" si="47"/>
        <v>26334.998901827479</v>
      </c>
      <c r="D972" s="5">
        <f t="shared" si="45"/>
        <v>7900.4996705482436</v>
      </c>
      <c r="E972" s="5" t="s">
        <v>973</v>
      </c>
    </row>
    <row r="973" spans="1:5" x14ac:dyDescent="0.25">
      <c r="A973" s="6" t="s">
        <v>974</v>
      </c>
      <c r="B973" s="5">
        <f t="shared" si="46"/>
        <v>1324650.4447619221</v>
      </c>
      <c r="C973" s="5">
        <f t="shared" si="47"/>
        <v>26493.008895238443</v>
      </c>
      <c r="D973" s="5">
        <f t="shared" si="45"/>
        <v>7947.9026685715326</v>
      </c>
      <c r="E973" s="5" t="s">
        <v>974</v>
      </c>
    </row>
    <row r="974" spans="1:5" x14ac:dyDescent="0.25">
      <c r="A974" s="6" t="s">
        <v>975</v>
      </c>
      <c r="B974" s="5">
        <f t="shared" si="46"/>
        <v>1332598.3474304937</v>
      </c>
      <c r="C974" s="5">
        <f t="shared" si="47"/>
        <v>26651.966948609876</v>
      </c>
      <c r="D974" s="5">
        <f t="shared" si="45"/>
        <v>7995.5900845829619</v>
      </c>
      <c r="E974" s="5" t="s">
        <v>975</v>
      </c>
    </row>
    <row r="975" spans="1:5" x14ac:dyDescent="0.25">
      <c r="A975" s="6" t="s">
        <v>976</v>
      </c>
      <c r="B975" s="5">
        <f t="shared" si="46"/>
        <v>1340593.9375150767</v>
      </c>
      <c r="C975" s="5">
        <f t="shared" si="47"/>
        <v>26811.878750301534</v>
      </c>
      <c r="D975" s="5">
        <f t="shared" si="45"/>
        <v>8043.5636250904599</v>
      </c>
      <c r="E975" s="5" t="s">
        <v>976</v>
      </c>
    </row>
    <row r="976" spans="1:5" x14ac:dyDescent="0.25">
      <c r="A976" s="6" t="s">
        <v>977</v>
      </c>
      <c r="B976" s="5">
        <f t="shared" si="46"/>
        <v>1348637.5011401672</v>
      </c>
      <c r="C976" s="5">
        <f t="shared" si="47"/>
        <v>26972.750022803346</v>
      </c>
      <c r="D976" s="5">
        <f t="shared" si="45"/>
        <v>8091.8250068410034</v>
      </c>
      <c r="E976" s="5" t="s">
        <v>977</v>
      </c>
    </row>
    <row r="977" spans="1:5" x14ac:dyDescent="0.25">
      <c r="A977" s="6" t="s">
        <v>978</v>
      </c>
      <c r="B977" s="5">
        <f t="shared" si="46"/>
        <v>1356729.3261470082</v>
      </c>
      <c r="C977" s="5">
        <f t="shared" si="47"/>
        <v>27134.586522940164</v>
      </c>
      <c r="D977" s="5">
        <f t="shared" si="45"/>
        <v>8140.3759568820487</v>
      </c>
      <c r="E977" s="5" t="s">
        <v>978</v>
      </c>
    </row>
    <row r="978" spans="1:5" x14ac:dyDescent="0.25">
      <c r="A978" s="6" t="s">
        <v>979</v>
      </c>
      <c r="B978" s="5">
        <f t="shared" si="46"/>
        <v>1364869.7021038902</v>
      </c>
      <c r="C978" s="5">
        <f t="shared" si="47"/>
        <v>27297.394042077805</v>
      </c>
      <c r="D978" s="5">
        <f t="shared" si="45"/>
        <v>8189.2182126233411</v>
      </c>
      <c r="E978" s="5" t="s">
        <v>979</v>
      </c>
    </row>
    <row r="979" spans="1:5" x14ac:dyDescent="0.25">
      <c r="A979" s="6" t="s">
        <v>980</v>
      </c>
      <c r="B979" s="5">
        <f t="shared" si="46"/>
        <v>1373058.9203165136</v>
      </c>
      <c r="C979" s="5">
        <f t="shared" si="47"/>
        <v>27461.178406330273</v>
      </c>
      <c r="D979" s="5">
        <f t="shared" si="45"/>
        <v>8238.3535218990819</v>
      </c>
      <c r="E979" s="5" t="s">
        <v>980</v>
      </c>
    </row>
    <row r="980" spans="1:5" x14ac:dyDescent="0.25">
      <c r="A980" s="6" t="s">
        <v>981</v>
      </c>
      <c r="B980" s="5">
        <f t="shared" si="46"/>
        <v>1381297.2738384127</v>
      </c>
      <c r="C980" s="5">
        <f t="shared" si="47"/>
        <v>27625.945476768255</v>
      </c>
      <c r="D980" s="5">
        <f t="shared" si="45"/>
        <v>8287.783643030476</v>
      </c>
      <c r="E980" s="5" t="s">
        <v>981</v>
      </c>
    </row>
    <row r="981" spans="1:5" x14ac:dyDescent="0.25">
      <c r="A981" s="6" t="s">
        <v>982</v>
      </c>
      <c r="B981" s="5">
        <f t="shared" si="46"/>
        <v>1389585.0574814433</v>
      </c>
      <c r="C981" s="5">
        <f t="shared" si="47"/>
        <v>27791.701149628865</v>
      </c>
      <c r="D981" s="5">
        <f t="shared" si="45"/>
        <v>8337.5103448886584</v>
      </c>
      <c r="E981" s="5" t="s">
        <v>982</v>
      </c>
    </row>
    <row r="982" spans="1:5" x14ac:dyDescent="0.25">
      <c r="A982" s="6" t="s">
        <v>983</v>
      </c>
      <c r="B982" s="5">
        <f t="shared" si="46"/>
        <v>1397922.5678263318</v>
      </c>
      <c r="C982" s="5">
        <f t="shared" si="47"/>
        <v>27958.451356526639</v>
      </c>
      <c r="D982" s="5">
        <f t="shared" si="45"/>
        <v>8387.5354069579917</v>
      </c>
      <c r="E982" s="5" t="s">
        <v>983</v>
      </c>
    </row>
    <row r="983" spans="1:5" x14ac:dyDescent="0.25">
      <c r="A983" s="6" t="s">
        <v>984</v>
      </c>
      <c r="B983" s="5">
        <f t="shared" si="46"/>
        <v>1406310.1032332899</v>
      </c>
      <c r="C983" s="5">
        <f t="shared" si="47"/>
        <v>28126.202064665798</v>
      </c>
      <c r="D983" s="5">
        <f t="shared" si="45"/>
        <v>8437.8606193997384</v>
      </c>
      <c r="E983" s="5" t="s">
        <v>984</v>
      </c>
    </row>
    <row r="984" spans="1:5" x14ac:dyDescent="0.25">
      <c r="A984" s="6" t="s">
        <v>985</v>
      </c>
      <c r="B984" s="5">
        <f t="shared" si="46"/>
        <v>1414747.9638526896</v>
      </c>
      <c r="C984" s="5">
        <f t="shared" si="47"/>
        <v>28294.959277053793</v>
      </c>
      <c r="D984" s="5">
        <f t="shared" si="45"/>
        <v>8488.4877831161375</v>
      </c>
      <c r="E984" s="5" t="s">
        <v>985</v>
      </c>
    </row>
    <row r="985" spans="1:5" x14ac:dyDescent="0.25">
      <c r="A985" s="6" t="s">
        <v>986</v>
      </c>
      <c r="B985" s="5">
        <f t="shared" si="46"/>
        <v>1423236.4516358057</v>
      </c>
      <c r="C985" s="5">
        <f t="shared" si="47"/>
        <v>28464.729032716114</v>
      </c>
      <c r="D985" s="5">
        <f t="shared" si="45"/>
        <v>8539.4187098148341</v>
      </c>
      <c r="E985" s="5" t="s">
        <v>986</v>
      </c>
    </row>
    <row r="986" spans="1:5" x14ac:dyDescent="0.25">
      <c r="A986" s="6" t="s">
        <v>987</v>
      </c>
      <c r="B986" s="5">
        <f t="shared" si="46"/>
        <v>1431775.8703456204</v>
      </c>
      <c r="C986" s="5">
        <f t="shared" si="47"/>
        <v>28635.517406912408</v>
      </c>
      <c r="D986" s="5">
        <f t="shared" si="45"/>
        <v>8590.6552220737212</v>
      </c>
      <c r="E986" s="5" t="s">
        <v>987</v>
      </c>
    </row>
    <row r="987" spans="1:5" x14ac:dyDescent="0.25">
      <c r="A987" s="6" t="s">
        <v>988</v>
      </c>
      <c r="B987" s="5">
        <f t="shared" si="46"/>
        <v>1440366.5255676941</v>
      </c>
      <c r="C987" s="5">
        <f t="shared" si="47"/>
        <v>28807.330511353881</v>
      </c>
      <c r="D987" s="5">
        <f t="shared" si="45"/>
        <v>8642.1991534061635</v>
      </c>
      <c r="E987" s="5" t="s">
        <v>988</v>
      </c>
    </row>
    <row r="988" spans="1:5" x14ac:dyDescent="0.25">
      <c r="A988" s="6" t="s">
        <v>989</v>
      </c>
      <c r="B988" s="5">
        <f t="shared" si="46"/>
        <v>1449008.7247211002</v>
      </c>
      <c r="C988" s="5">
        <f t="shared" si="47"/>
        <v>28980.174494422004</v>
      </c>
      <c r="D988" s="5">
        <f t="shared" si="45"/>
        <v>8694.0523483266006</v>
      </c>
      <c r="E988" s="5" t="s">
        <v>989</v>
      </c>
    </row>
    <row r="989" spans="1:5" x14ac:dyDescent="0.25">
      <c r="A989" s="6" t="s">
        <v>990</v>
      </c>
      <c r="B989" s="5">
        <f t="shared" si="46"/>
        <v>1457702.7770694268</v>
      </c>
      <c r="C989" s="5">
        <f t="shared" si="47"/>
        <v>29154.055541388538</v>
      </c>
      <c r="D989" s="5">
        <f t="shared" si="45"/>
        <v>8746.2166624165602</v>
      </c>
      <c r="E989" s="5" t="s">
        <v>990</v>
      </c>
    </row>
    <row r="990" spans="1:5" x14ac:dyDescent="0.25">
      <c r="A990" s="6" t="s">
        <v>991</v>
      </c>
      <c r="B990" s="5">
        <f t="shared" si="46"/>
        <v>1466448.9937318433</v>
      </c>
      <c r="C990" s="5">
        <f t="shared" si="47"/>
        <v>29328.979874636865</v>
      </c>
      <c r="D990" s="5">
        <f t="shared" si="45"/>
        <v>8798.6939623910584</v>
      </c>
      <c r="E990" s="5" t="s">
        <v>991</v>
      </c>
    </row>
    <row r="991" spans="1:5" x14ac:dyDescent="0.25">
      <c r="A991" s="6" t="s">
        <v>992</v>
      </c>
      <c r="B991" s="5">
        <f t="shared" si="46"/>
        <v>1475247.6876942343</v>
      </c>
      <c r="C991" s="5">
        <f t="shared" si="47"/>
        <v>29504.953753884685</v>
      </c>
      <c r="D991" s="5">
        <f t="shared" si="45"/>
        <v>8851.4861261654059</v>
      </c>
      <c r="E991" s="5" t="s">
        <v>992</v>
      </c>
    </row>
    <row r="992" spans="1:5" x14ac:dyDescent="0.25">
      <c r="A992" s="6" t="s">
        <v>993</v>
      </c>
      <c r="B992" s="5">
        <f t="shared" si="46"/>
        <v>1484099.1738203997</v>
      </c>
      <c r="C992" s="5">
        <f t="shared" si="47"/>
        <v>29681.983476407993</v>
      </c>
      <c r="D992" s="5">
        <f t="shared" si="45"/>
        <v>8904.5950429223976</v>
      </c>
      <c r="E992" s="5" t="s">
        <v>993</v>
      </c>
    </row>
    <row r="993" spans="1:5" x14ac:dyDescent="0.25">
      <c r="A993" s="6" t="s">
        <v>994</v>
      </c>
      <c r="B993" s="5">
        <f t="shared" si="46"/>
        <v>1493003.768863322</v>
      </c>
      <c r="C993" s="5">
        <f t="shared" si="47"/>
        <v>29860.075377266439</v>
      </c>
      <c r="D993" s="5">
        <f t="shared" si="45"/>
        <v>8958.0226131799318</v>
      </c>
      <c r="E993" s="5" t="s">
        <v>994</v>
      </c>
    </row>
    <row r="994" spans="1:5" x14ac:dyDescent="0.25">
      <c r="A994" s="6" t="s">
        <v>995</v>
      </c>
      <c r="B994" s="5">
        <f t="shared" si="46"/>
        <v>1501961.7914765019</v>
      </c>
      <c r="C994" s="5">
        <f t="shared" si="47"/>
        <v>30039.235829530036</v>
      </c>
      <c r="D994" s="5">
        <f t="shared" si="45"/>
        <v>9011.7707488590113</v>
      </c>
      <c r="E994" s="5" t="s">
        <v>995</v>
      </c>
    </row>
    <row r="995" spans="1:5" x14ac:dyDescent="0.25">
      <c r="A995" s="6" t="s">
        <v>996</v>
      </c>
      <c r="B995" s="5">
        <f t="shared" si="46"/>
        <v>1510973.5622253609</v>
      </c>
      <c r="C995" s="5">
        <f t="shared" si="47"/>
        <v>30219.471244507218</v>
      </c>
      <c r="D995" s="5">
        <f t="shared" si="45"/>
        <v>9065.8413733521647</v>
      </c>
      <c r="E995" s="5" t="s">
        <v>996</v>
      </c>
    </row>
    <row r="996" spans="1:5" x14ac:dyDescent="0.25">
      <c r="A996" s="6" t="s">
        <v>997</v>
      </c>
      <c r="B996" s="5">
        <f t="shared" si="46"/>
        <v>1520039.403598713</v>
      </c>
      <c r="C996" s="5">
        <f t="shared" si="47"/>
        <v>30400.788071974261</v>
      </c>
      <c r="D996" s="5">
        <f t="shared" si="45"/>
        <v>9120.2364215922771</v>
      </c>
      <c r="E996" s="5" t="s">
        <v>997</v>
      </c>
    </row>
    <row r="997" spans="1:5" x14ac:dyDescent="0.25">
      <c r="A997" s="6" t="s">
        <v>998</v>
      </c>
      <c r="B997" s="5">
        <f t="shared" si="46"/>
        <v>1529159.6400203053</v>
      </c>
      <c r="C997" s="5">
        <f t="shared" si="47"/>
        <v>30583.192800406105</v>
      </c>
      <c r="D997" s="5">
        <f t="shared" si="45"/>
        <v>9174.9578401218314</v>
      </c>
      <c r="E997" s="5" t="s">
        <v>998</v>
      </c>
    </row>
    <row r="998" spans="1:5" x14ac:dyDescent="0.25">
      <c r="A998" s="6" t="s">
        <v>999</v>
      </c>
      <c r="B998" s="5">
        <f t="shared" si="46"/>
        <v>1538334.5978604271</v>
      </c>
      <c r="C998" s="5">
        <f t="shared" si="47"/>
        <v>30766.691957208543</v>
      </c>
      <c r="D998" s="5">
        <f t="shared" si="45"/>
        <v>9230.0075871625631</v>
      </c>
      <c r="E998" s="5" t="s">
        <v>999</v>
      </c>
    </row>
    <row r="999" spans="1:5" x14ac:dyDescent="0.25">
      <c r="A999" s="6" t="s">
        <v>1000</v>
      </c>
      <c r="B999" s="5">
        <f t="shared" si="46"/>
        <v>1547564.6054475897</v>
      </c>
      <c r="C999" s="5">
        <f t="shared" si="47"/>
        <v>30951.292108951795</v>
      </c>
      <c r="D999" s="5">
        <f t="shared" si="45"/>
        <v>9285.3876326855388</v>
      </c>
      <c r="E999" s="5" t="s">
        <v>1000</v>
      </c>
    </row>
    <row r="1000" spans="1:5" x14ac:dyDescent="0.25">
      <c r="A1000" s="6" t="s">
        <v>1001</v>
      </c>
      <c r="B1000" s="5">
        <f t="shared" si="46"/>
        <v>1556849.9930802751</v>
      </c>
      <c r="C1000" s="5">
        <f t="shared" si="47"/>
        <v>31136.999861605502</v>
      </c>
      <c r="D1000" s="5">
        <f t="shared" si="45"/>
        <v>9341.0999584816509</v>
      </c>
      <c r="E1000" s="5" t="s">
        <v>1001</v>
      </c>
    </row>
    <row r="1001" spans="1:5" x14ac:dyDescent="0.25">
      <c r="A1001" s="6" t="s">
        <v>1002</v>
      </c>
      <c r="B1001" s="5">
        <f t="shared" si="46"/>
        <v>1566191.0930387569</v>
      </c>
      <c r="C1001" s="5">
        <f t="shared" si="47"/>
        <v>31323.821860775137</v>
      </c>
      <c r="D1001" s="5">
        <f t="shared" si="45"/>
        <v>9397.14655823254</v>
      </c>
      <c r="E1001" s="5" t="s">
        <v>1002</v>
      </c>
    </row>
    <row r="1002" spans="1:5" x14ac:dyDescent="0.25">
      <c r="A1002" s="6" t="s">
        <v>1003</v>
      </c>
      <c r="B1002" s="5">
        <f t="shared" si="46"/>
        <v>1575588.2395969895</v>
      </c>
      <c r="C1002" s="5">
        <f t="shared" si="47"/>
        <v>31511.76479193979</v>
      </c>
      <c r="D1002" s="5">
        <f t="shared" si="45"/>
        <v>9453.5294375819358</v>
      </c>
      <c r="E1002" s="5" t="s">
        <v>1003</v>
      </c>
    </row>
    <row r="1003" spans="1:5" x14ac:dyDescent="0.25">
      <c r="A1003" s="6" t="s">
        <v>1004</v>
      </c>
      <c r="B1003" s="5">
        <f t="shared" si="46"/>
        <v>1585041.7690345715</v>
      </c>
      <c r="C1003" s="5">
        <f t="shared" si="47"/>
        <v>31700.835380691431</v>
      </c>
      <c r="D1003" s="5">
        <f t="shared" si="45"/>
        <v>9510.250614207429</v>
      </c>
      <c r="E1003" s="5" t="s">
        <v>1004</v>
      </c>
    </row>
    <row r="1004" spans="1:5" x14ac:dyDescent="0.25">
      <c r="A1004" s="6" t="s">
        <v>1005</v>
      </c>
      <c r="B1004" s="5">
        <f t="shared" si="46"/>
        <v>1594552.019648779</v>
      </c>
      <c r="C1004" s="5">
        <f t="shared" si="47"/>
        <v>31891.040392975581</v>
      </c>
      <c r="D1004" s="5">
        <f t="shared" si="45"/>
        <v>9567.312117892674</v>
      </c>
      <c r="E1004" s="5" t="s">
        <v>1005</v>
      </c>
    </row>
    <row r="1005" spans="1:5" x14ac:dyDescent="0.25">
      <c r="A1005" s="6" t="s">
        <v>1006</v>
      </c>
      <c r="B1005" s="5">
        <f t="shared" si="46"/>
        <v>1604119.3317666717</v>
      </c>
      <c r="C1005" s="5">
        <f t="shared" si="47"/>
        <v>32082.386635333434</v>
      </c>
      <c r="D1005" s="5">
        <f t="shared" si="45"/>
        <v>9624.7159906000306</v>
      </c>
      <c r="E1005" s="5" t="s">
        <v>1006</v>
      </c>
    </row>
    <row r="1006" spans="1:5" x14ac:dyDescent="0.25">
      <c r="A1006" s="6" t="s">
        <v>1007</v>
      </c>
      <c r="B1006" s="5">
        <f t="shared" si="46"/>
        <v>1613744.0477572717</v>
      </c>
      <c r="C1006" s="5">
        <f t="shared" si="47"/>
        <v>32274.880955145436</v>
      </c>
      <c r="D1006" s="5">
        <f t="shared" si="45"/>
        <v>9682.4642865436308</v>
      </c>
      <c r="E1006" s="5" t="s">
        <v>1007</v>
      </c>
    </row>
    <row r="1007" spans="1:5" x14ac:dyDescent="0.25">
      <c r="A1007" s="6" t="s">
        <v>1008</v>
      </c>
      <c r="B1007" s="5">
        <f t="shared" si="46"/>
        <v>1623426.5120438153</v>
      </c>
      <c r="C1007" s="5">
        <f t="shared" si="47"/>
        <v>32468.530240876309</v>
      </c>
      <c r="D1007" s="5">
        <f t="shared" si="45"/>
        <v>9740.5590722628931</v>
      </c>
      <c r="E1007" s="5" t="s">
        <v>1008</v>
      </c>
    </row>
    <row r="1008" spans="1:5" x14ac:dyDescent="0.25">
      <c r="A1008" s="6" t="s">
        <v>1009</v>
      </c>
      <c r="B1008" s="5">
        <f t="shared" si="46"/>
        <v>1633167.0711160782</v>
      </c>
      <c r="C1008" s="5">
        <f t="shared" si="47"/>
        <v>32663.341422321566</v>
      </c>
      <c r="D1008" s="5">
        <f t="shared" si="45"/>
        <v>9799.0024266964701</v>
      </c>
      <c r="E1008" s="5" t="s">
        <v>1009</v>
      </c>
    </row>
    <row r="1009" spans="1:5" x14ac:dyDescent="0.25">
      <c r="A1009" s="6" t="s">
        <v>1010</v>
      </c>
      <c r="B1009" s="5">
        <f t="shared" si="46"/>
        <v>1642966.0735427747</v>
      </c>
      <c r="C1009" s="5">
        <f t="shared" si="47"/>
        <v>32859.321470855495</v>
      </c>
      <c r="D1009" s="5">
        <f t="shared" si="45"/>
        <v>9857.7964412566489</v>
      </c>
      <c r="E1009" s="5" t="s">
        <v>1010</v>
      </c>
    </row>
    <row r="1010" spans="1:5" x14ac:dyDescent="0.25">
      <c r="A1010" s="6" t="s">
        <v>1011</v>
      </c>
      <c r="B1010" s="5">
        <f t="shared" si="46"/>
        <v>1652823.8699840312</v>
      </c>
      <c r="C1010" s="5">
        <f t="shared" si="47"/>
        <v>33056.477399680625</v>
      </c>
      <c r="D1010" s="5">
        <f t="shared" si="45"/>
        <v>9916.9432199041876</v>
      </c>
      <c r="E1010" s="5" t="s">
        <v>1011</v>
      </c>
    </row>
    <row r="1011" spans="1:5" x14ac:dyDescent="0.25">
      <c r="A1011" s="6" t="s">
        <v>1012</v>
      </c>
      <c r="B1011" s="5">
        <f t="shared" si="46"/>
        <v>1662740.8132039353</v>
      </c>
      <c r="C1011" s="5">
        <f t="shared" si="47"/>
        <v>33254.816264078705</v>
      </c>
      <c r="D1011" s="5">
        <f t="shared" si="45"/>
        <v>9976.4448792236108</v>
      </c>
      <c r="E1011" s="5" t="s">
        <v>1012</v>
      </c>
    </row>
    <row r="1012" spans="1:5" x14ac:dyDescent="0.25">
      <c r="A1012" s="6" t="s">
        <v>1013</v>
      </c>
      <c r="B1012" s="5">
        <f t="shared" si="46"/>
        <v>1672717.2580831589</v>
      </c>
      <c r="C1012" s="5">
        <f t="shared" si="47"/>
        <v>33454.345161663179</v>
      </c>
      <c r="D1012" s="5">
        <f t="shared" si="45"/>
        <v>10036.303548498954</v>
      </c>
      <c r="E1012" s="5" t="s">
        <v>1013</v>
      </c>
    </row>
    <row r="1013" spans="1:5" x14ac:dyDescent="0.25">
      <c r="A1013" s="6" t="s">
        <v>1014</v>
      </c>
      <c r="B1013" s="5">
        <f t="shared" si="46"/>
        <v>1682753.5616316579</v>
      </c>
      <c r="C1013" s="5">
        <f t="shared" si="47"/>
        <v>33655.071232633156</v>
      </c>
      <c r="D1013" s="5">
        <f t="shared" si="45"/>
        <v>10096.521369789947</v>
      </c>
      <c r="E1013" s="5" t="s">
        <v>1014</v>
      </c>
    </row>
    <row r="1014" spans="1:5" x14ac:dyDescent="0.25">
      <c r="A1014" s="6" t="s">
        <v>1015</v>
      </c>
      <c r="B1014" s="5">
        <f t="shared" si="46"/>
        <v>1692850.0830014478</v>
      </c>
      <c r="C1014" s="5">
        <f t="shared" si="47"/>
        <v>33857.00166002896</v>
      </c>
      <c r="D1014" s="5">
        <f t="shared" si="45"/>
        <v>10157.100498008687</v>
      </c>
      <c r="E1014" s="5" t="s">
        <v>1015</v>
      </c>
    </row>
    <row r="1015" spans="1:5" x14ac:dyDescent="0.25">
      <c r="A1015" s="6" t="s">
        <v>1016</v>
      </c>
      <c r="B1015" s="5">
        <f t="shared" si="46"/>
        <v>1703007.1834994566</v>
      </c>
      <c r="C1015" s="5">
        <f t="shared" si="47"/>
        <v>34060.143669989135</v>
      </c>
      <c r="D1015" s="5">
        <f t="shared" si="45"/>
        <v>10218.04310099674</v>
      </c>
      <c r="E1015" s="5" t="s">
        <v>1016</v>
      </c>
    </row>
    <row r="1016" spans="1:5" x14ac:dyDescent="0.25">
      <c r="A1016" s="6" t="s">
        <v>1017</v>
      </c>
      <c r="B1016" s="5">
        <f t="shared" si="46"/>
        <v>1713225.2266004533</v>
      </c>
      <c r="C1016" s="5">
        <f t="shared" si="47"/>
        <v>34264.504532009065</v>
      </c>
      <c r="D1016" s="5">
        <f t="shared" si="45"/>
        <v>10279.351359602719</v>
      </c>
      <c r="E1016" s="5" t="s">
        <v>1017</v>
      </c>
    </row>
    <row r="1017" spans="1:5" x14ac:dyDescent="0.25">
      <c r="A1017" s="6" t="s">
        <v>1018</v>
      </c>
      <c r="B1017" s="5">
        <f t="shared" si="46"/>
        <v>1723504.577960056</v>
      </c>
      <c r="C1017" s="5">
        <f t="shared" si="47"/>
        <v>34470.091559201122</v>
      </c>
      <c r="D1017" s="5">
        <f t="shared" si="45"/>
        <v>10341.027467760336</v>
      </c>
      <c r="E1017" s="5" t="s">
        <v>1018</v>
      </c>
    </row>
    <row r="1018" spans="1:5" x14ac:dyDescent="0.25">
      <c r="A1018" s="6" t="s">
        <v>1019</v>
      </c>
      <c r="B1018" s="5">
        <f t="shared" si="46"/>
        <v>1733845.6054278163</v>
      </c>
      <c r="C1018" s="5">
        <f t="shared" si="47"/>
        <v>34676.912108556324</v>
      </c>
      <c r="D1018" s="5">
        <f t="shared" si="45"/>
        <v>10403.073632566897</v>
      </c>
      <c r="E1018" s="5" t="s">
        <v>1019</v>
      </c>
    </row>
    <row r="1019" spans="1:5" x14ac:dyDescent="0.25">
      <c r="A1019" s="6" t="s">
        <v>1020</v>
      </c>
      <c r="B1019" s="5">
        <f t="shared" si="46"/>
        <v>1744248.6790603832</v>
      </c>
      <c r="C1019" s="5">
        <f t="shared" si="47"/>
        <v>34884.973581207669</v>
      </c>
      <c r="D1019" s="5">
        <f t="shared" si="45"/>
        <v>10465.492074362301</v>
      </c>
      <c r="E1019" s="5" t="s">
        <v>1020</v>
      </c>
    </row>
    <row r="1020" spans="1:5" x14ac:dyDescent="0.25">
      <c r="A1020" s="6" t="s">
        <v>1021</v>
      </c>
      <c r="B1020" s="5">
        <f t="shared" si="46"/>
        <v>1754714.1711347455</v>
      </c>
      <c r="C1020" s="5">
        <f t="shared" si="47"/>
        <v>35094.283422694913</v>
      </c>
      <c r="D1020" s="5">
        <f t="shared" si="45"/>
        <v>10528.285026808473</v>
      </c>
      <c r="E1020" s="5" t="s">
        <v>1021</v>
      </c>
    </row>
    <row r="1021" spans="1:5" x14ac:dyDescent="0.25">
      <c r="A1021" s="6" t="s">
        <v>1022</v>
      </c>
      <c r="B1021" s="5">
        <f t="shared" si="46"/>
        <v>1765242.456161554</v>
      </c>
      <c r="C1021" s="5">
        <f t="shared" si="47"/>
        <v>35304.849123231077</v>
      </c>
      <c r="D1021" s="5">
        <f t="shared" si="45"/>
        <v>10591.454736969323</v>
      </c>
      <c r="E1021" s="5" t="s">
        <v>1022</v>
      </c>
    </row>
    <row r="1022" spans="1:5" x14ac:dyDescent="0.25">
      <c r="A1022" s="6" t="s">
        <v>1023</v>
      </c>
      <c r="B1022" s="5">
        <f t="shared" si="46"/>
        <v>1775833.9108985234</v>
      </c>
      <c r="C1022" s="5">
        <f t="shared" si="47"/>
        <v>35516.678217970468</v>
      </c>
      <c r="D1022" s="5">
        <f t="shared" si="45"/>
        <v>10655.003465391141</v>
      </c>
      <c r="E1022" s="5" t="s">
        <v>1023</v>
      </c>
    </row>
    <row r="1023" spans="1:5" x14ac:dyDescent="0.25">
      <c r="A1023" s="6" t="s">
        <v>1024</v>
      </c>
      <c r="B1023" s="5">
        <f t="shared" si="46"/>
        <v>1786488.9143639146</v>
      </c>
      <c r="C1023" s="5">
        <f t="shared" si="47"/>
        <v>35729.778287278292</v>
      </c>
      <c r="D1023" s="5">
        <f t="shared" si="45"/>
        <v>10718.933486183487</v>
      </c>
      <c r="E1023" s="5" t="s">
        <v>1024</v>
      </c>
    </row>
    <row r="1024" spans="1:5" x14ac:dyDescent="0.25">
      <c r="A1024" s="6" t="s">
        <v>1025</v>
      </c>
      <c r="B1024" s="5">
        <f t="shared" si="46"/>
        <v>1797207.847850098</v>
      </c>
      <c r="C1024" s="5">
        <f t="shared" si="47"/>
        <v>35944.156957001964</v>
      </c>
      <c r="D1024" s="5">
        <f t="shared" si="45"/>
        <v>10783.247087100588</v>
      </c>
      <c r="E1024" s="5" t="s">
        <v>1025</v>
      </c>
    </row>
    <row r="1025" spans="1:5" x14ac:dyDescent="0.25">
      <c r="A1025" s="6" t="s">
        <v>1026</v>
      </c>
      <c r="B1025" s="5">
        <f t="shared" si="46"/>
        <v>1807991.0949371986</v>
      </c>
      <c r="C1025" s="5">
        <f t="shared" si="47"/>
        <v>36159.821898743969</v>
      </c>
      <c r="D1025" s="5">
        <f t="shared" si="45"/>
        <v>10847.946569623191</v>
      </c>
      <c r="E1025" s="5" t="s">
        <v>1026</v>
      </c>
    </row>
    <row r="1026" spans="1:5" x14ac:dyDescent="0.25">
      <c r="A1026" s="6" t="s">
        <v>1027</v>
      </c>
      <c r="B1026" s="5">
        <f t="shared" si="46"/>
        <v>1818839.0415068218</v>
      </c>
      <c r="C1026" s="5">
        <f t="shared" si="47"/>
        <v>36376.780830136435</v>
      </c>
      <c r="D1026" s="5">
        <f t="shared" si="45"/>
        <v>10913.034249040929</v>
      </c>
      <c r="E1026" s="5" t="s">
        <v>1027</v>
      </c>
    </row>
    <row r="1027" spans="1:5" x14ac:dyDescent="0.25">
      <c r="A1027" s="6" t="s">
        <v>1028</v>
      </c>
      <c r="B1027" s="5">
        <f t="shared" si="46"/>
        <v>1829752.0757558628</v>
      </c>
      <c r="C1027" s="5">
        <f t="shared" si="47"/>
        <v>36595.041515117256</v>
      </c>
      <c r="D1027" s="5">
        <f t="shared" si="45"/>
        <v>10978.512454535177</v>
      </c>
      <c r="E1027" s="5" t="s">
        <v>1028</v>
      </c>
    </row>
    <row r="1028" spans="1:5" x14ac:dyDescent="0.25">
      <c r="A1028" s="6" t="s">
        <v>1029</v>
      </c>
      <c r="B1028" s="5">
        <f t="shared" si="46"/>
        <v>1840730.5882103979</v>
      </c>
      <c r="C1028" s="5">
        <f t="shared" si="47"/>
        <v>36814.611764207955</v>
      </c>
      <c r="D1028" s="5">
        <f t="shared" si="45"/>
        <v>11044.383529262386</v>
      </c>
      <c r="E1028" s="5" t="s">
        <v>1029</v>
      </c>
    </row>
    <row r="1029" spans="1:5" x14ac:dyDescent="0.25">
      <c r="A1029" s="6" t="s">
        <v>1030</v>
      </c>
      <c r="B1029" s="5">
        <f t="shared" si="46"/>
        <v>1851774.9717396603</v>
      </c>
      <c r="C1029" s="5">
        <f t="shared" si="47"/>
        <v>37035.499434793208</v>
      </c>
      <c r="D1029" s="5">
        <f t="shared" si="45"/>
        <v>11110.649830437962</v>
      </c>
      <c r="E1029" s="5" t="s">
        <v>1030</v>
      </c>
    </row>
    <row r="1030" spans="1:5" x14ac:dyDescent="0.25">
      <c r="A1030" s="6" t="s">
        <v>1031</v>
      </c>
      <c r="B1030" s="5">
        <f t="shared" si="46"/>
        <v>1862885.6215700982</v>
      </c>
      <c r="C1030" s="5">
        <f t="shared" si="47"/>
        <v>37257.712431401967</v>
      </c>
      <c r="D1030" s="5">
        <f t="shared" ref="D1030:D1093" si="48">C1030*$B$2*$E$2</f>
        <v>11177.31372942059</v>
      </c>
      <c r="E1030" s="5" t="s">
        <v>1031</v>
      </c>
    </row>
    <row r="1031" spans="1:5" x14ac:dyDescent="0.25">
      <c r="A1031" s="6" t="s">
        <v>1032</v>
      </c>
      <c r="B1031" s="5">
        <f t="shared" si="46"/>
        <v>1874062.9352995188</v>
      </c>
      <c r="C1031" s="5">
        <f t="shared" si="47"/>
        <v>37481.258705990374</v>
      </c>
      <c r="D1031" s="5">
        <f t="shared" si="48"/>
        <v>11244.377611797112</v>
      </c>
      <c r="E1031" s="5" t="s">
        <v>1032</v>
      </c>
    </row>
    <row r="1032" spans="1:5" x14ac:dyDescent="0.25">
      <c r="A1032" s="6" t="s">
        <v>1033</v>
      </c>
      <c r="B1032" s="5">
        <f t="shared" si="46"/>
        <v>1885307.3129113158</v>
      </c>
      <c r="C1032" s="5">
        <f t="shared" si="47"/>
        <v>37706.146258226319</v>
      </c>
      <c r="D1032" s="5">
        <f t="shared" si="48"/>
        <v>11311.843877467896</v>
      </c>
      <c r="E1032" s="5" t="s">
        <v>1033</v>
      </c>
    </row>
    <row r="1033" spans="1:5" x14ac:dyDescent="0.25">
      <c r="A1033" s="6" t="s">
        <v>1034</v>
      </c>
      <c r="B1033" s="5">
        <f t="shared" ref="B1033:B1096" si="49">B1032+D1032</f>
        <v>1896619.1567887836</v>
      </c>
      <c r="C1033" s="5">
        <f t="shared" ref="C1033:C1096" si="50">B1033*$C$2</f>
        <v>37932.383135775672</v>
      </c>
      <c r="D1033" s="5">
        <f t="shared" si="48"/>
        <v>11379.714940732702</v>
      </c>
      <c r="E1033" s="5" t="s">
        <v>1034</v>
      </c>
    </row>
    <row r="1034" spans="1:5" x14ac:dyDescent="0.25">
      <c r="A1034" s="6" t="s">
        <v>1035</v>
      </c>
      <c r="B1034" s="5">
        <f t="shared" si="49"/>
        <v>1907998.8717295164</v>
      </c>
      <c r="C1034" s="5">
        <f t="shared" si="50"/>
        <v>38159.977434590328</v>
      </c>
      <c r="D1034" s="5">
        <f t="shared" si="48"/>
        <v>11447.993230377098</v>
      </c>
      <c r="E1034" s="5" t="s">
        <v>1035</v>
      </c>
    </row>
    <row r="1035" spans="1:5" x14ac:dyDescent="0.25">
      <c r="A1035" s="6" t="s">
        <v>1036</v>
      </c>
      <c r="B1035" s="5">
        <f t="shared" si="49"/>
        <v>1919446.8649598935</v>
      </c>
      <c r="C1035" s="5">
        <f t="shared" si="50"/>
        <v>38388.937299197874</v>
      </c>
      <c r="D1035" s="5">
        <f t="shared" si="48"/>
        <v>11516.681189759362</v>
      </c>
      <c r="E1035" s="5" t="s">
        <v>1036</v>
      </c>
    </row>
    <row r="1036" spans="1:5" x14ac:dyDescent="0.25">
      <c r="A1036" s="6" t="s">
        <v>1037</v>
      </c>
      <c r="B1036" s="5">
        <f t="shared" si="49"/>
        <v>1930963.5461496529</v>
      </c>
      <c r="C1036" s="5">
        <f t="shared" si="50"/>
        <v>38619.270922993062</v>
      </c>
      <c r="D1036" s="5">
        <f t="shared" si="48"/>
        <v>11585.781276897918</v>
      </c>
      <c r="E1036" s="5" t="s">
        <v>1037</v>
      </c>
    </row>
    <row r="1037" spans="1:5" x14ac:dyDescent="0.25">
      <c r="A1037" s="6" t="s">
        <v>1038</v>
      </c>
      <c r="B1037" s="5">
        <f t="shared" si="49"/>
        <v>1942549.3274265509</v>
      </c>
      <c r="C1037" s="5">
        <f t="shared" si="50"/>
        <v>38850.986548531022</v>
      </c>
      <c r="D1037" s="5">
        <f t="shared" si="48"/>
        <v>11655.295964559306</v>
      </c>
      <c r="E1037" s="5" t="s">
        <v>1038</v>
      </c>
    </row>
    <row r="1038" spans="1:5" x14ac:dyDescent="0.25">
      <c r="A1038" s="6" t="s">
        <v>1039</v>
      </c>
      <c r="B1038" s="5">
        <f t="shared" si="49"/>
        <v>1954204.6233911102</v>
      </c>
      <c r="C1038" s="5">
        <f t="shared" si="50"/>
        <v>39084.092467822207</v>
      </c>
      <c r="D1038" s="5">
        <f t="shared" si="48"/>
        <v>11725.227740346661</v>
      </c>
      <c r="E1038" s="5" t="s">
        <v>1039</v>
      </c>
    </row>
    <row r="1039" spans="1:5" x14ac:dyDescent="0.25">
      <c r="A1039" s="6" t="s">
        <v>1040</v>
      </c>
      <c r="B1039" s="5">
        <f t="shared" si="49"/>
        <v>1965929.8511314569</v>
      </c>
      <c r="C1039" s="5">
        <f t="shared" si="50"/>
        <v>39318.597022629139</v>
      </c>
      <c r="D1039" s="5">
        <f t="shared" si="48"/>
        <v>11795.579106788742</v>
      </c>
      <c r="E1039" s="5" t="s">
        <v>1040</v>
      </c>
    </row>
    <row r="1040" spans="1:5" x14ac:dyDescent="0.25">
      <c r="A1040" s="6" t="s">
        <v>1041</v>
      </c>
      <c r="B1040" s="5">
        <f t="shared" si="49"/>
        <v>1977725.4302382458</v>
      </c>
      <c r="C1040" s="5">
        <f t="shared" si="50"/>
        <v>39554.508604764917</v>
      </c>
      <c r="D1040" s="5">
        <f t="shared" si="48"/>
        <v>11866.352581429475</v>
      </c>
      <c r="E1040" s="5" t="s">
        <v>1041</v>
      </c>
    </row>
    <row r="1041" spans="1:5" x14ac:dyDescent="0.25">
      <c r="A1041" s="6" t="s">
        <v>1042</v>
      </c>
      <c r="B1041" s="5">
        <f t="shared" si="49"/>
        <v>1989591.7828196753</v>
      </c>
      <c r="C1041" s="5">
        <f t="shared" si="50"/>
        <v>39791.835656393509</v>
      </c>
      <c r="D1041" s="5">
        <f t="shared" si="48"/>
        <v>11937.550696918051</v>
      </c>
      <c r="E1041" s="5" t="s">
        <v>1042</v>
      </c>
    </row>
    <row r="1042" spans="1:5" x14ac:dyDescent="0.25">
      <c r="A1042" s="6" t="s">
        <v>1043</v>
      </c>
      <c r="B1042" s="5">
        <f t="shared" si="49"/>
        <v>2001529.3335165933</v>
      </c>
      <c r="C1042" s="5">
        <f t="shared" si="50"/>
        <v>40030.586670331868</v>
      </c>
      <c r="D1042" s="5">
        <f t="shared" si="48"/>
        <v>12009.17600109956</v>
      </c>
      <c r="E1042" s="5" t="s">
        <v>1043</v>
      </c>
    </row>
    <row r="1043" spans="1:5" x14ac:dyDescent="0.25">
      <c r="A1043" s="6" t="s">
        <v>1044</v>
      </c>
      <c r="B1043" s="5">
        <f t="shared" si="49"/>
        <v>2013538.509517693</v>
      </c>
      <c r="C1043" s="5">
        <f t="shared" si="50"/>
        <v>40270.770190353862</v>
      </c>
      <c r="D1043" s="5">
        <f t="shared" si="48"/>
        <v>12081.231057106159</v>
      </c>
      <c r="E1043" s="5" t="s">
        <v>1044</v>
      </c>
    </row>
    <row r="1044" spans="1:5" x14ac:dyDescent="0.25">
      <c r="A1044" s="6" t="s">
        <v>1045</v>
      </c>
      <c r="B1044" s="5">
        <f t="shared" si="49"/>
        <v>2025619.740574799</v>
      </c>
      <c r="C1044" s="5">
        <f t="shared" si="50"/>
        <v>40512.394811495979</v>
      </c>
      <c r="D1044" s="5">
        <f t="shared" si="48"/>
        <v>12153.718443448794</v>
      </c>
      <c r="E1044" s="5" t="s">
        <v>1045</v>
      </c>
    </row>
    <row r="1045" spans="1:5" x14ac:dyDescent="0.25">
      <c r="A1045" s="6" t="s">
        <v>1046</v>
      </c>
      <c r="B1045" s="5">
        <f t="shared" si="49"/>
        <v>2037773.4590182479</v>
      </c>
      <c r="C1045" s="5">
        <f t="shared" si="50"/>
        <v>40755.469180364962</v>
      </c>
      <c r="D1045" s="5">
        <f t="shared" si="48"/>
        <v>12226.640754109489</v>
      </c>
      <c r="E1045" s="5" t="s">
        <v>1046</v>
      </c>
    </row>
    <row r="1046" spans="1:5" x14ac:dyDescent="0.25">
      <c r="A1046" s="6" t="s">
        <v>1047</v>
      </c>
      <c r="B1046" s="5">
        <f t="shared" si="49"/>
        <v>2050000.0997723574</v>
      </c>
      <c r="C1046" s="5">
        <f t="shared" si="50"/>
        <v>41000.00199544715</v>
      </c>
      <c r="D1046" s="5">
        <f t="shared" si="48"/>
        <v>12300.000598634144</v>
      </c>
      <c r="E1046" s="5" t="s">
        <v>1047</v>
      </c>
    </row>
    <row r="1047" spans="1:5" x14ac:dyDescent="0.25">
      <c r="A1047" s="6" t="s">
        <v>1048</v>
      </c>
      <c r="B1047" s="5">
        <f t="shared" si="49"/>
        <v>2062300.1003709915</v>
      </c>
      <c r="C1047" s="5">
        <f t="shared" si="50"/>
        <v>41246.002007419833</v>
      </c>
      <c r="D1047" s="5">
        <f t="shared" si="48"/>
        <v>12373.800602225949</v>
      </c>
      <c r="E1047" s="5" t="s">
        <v>1048</v>
      </c>
    </row>
    <row r="1048" spans="1:5" x14ac:dyDescent="0.25">
      <c r="A1048" s="6" t="s">
        <v>1049</v>
      </c>
      <c r="B1048" s="5">
        <f t="shared" si="49"/>
        <v>2074673.9009732176</v>
      </c>
      <c r="C1048" s="5">
        <f t="shared" si="50"/>
        <v>41493.478019464354</v>
      </c>
      <c r="D1048" s="5">
        <f t="shared" si="48"/>
        <v>12448.043405839306</v>
      </c>
      <c r="E1048" s="5" t="s">
        <v>1049</v>
      </c>
    </row>
    <row r="1049" spans="1:5" x14ac:dyDescent="0.25">
      <c r="A1049" s="6" t="s">
        <v>1050</v>
      </c>
      <c r="B1049" s="5">
        <f t="shared" si="49"/>
        <v>2087121.9443790568</v>
      </c>
      <c r="C1049" s="5">
        <f t="shared" si="50"/>
        <v>41742.438887581135</v>
      </c>
      <c r="D1049" s="5">
        <f t="shared" si="48"/>
        <v>12522.73166627434</v>
      </c>
      <c r="E1049" s="5" t="s">
        <v>1050</v>
      </c>
    </row>
    <row r="1050" spans="1:5" x14ac:dyDescent="0.25">
      <c r="A1050" s="6" t="s">
        <v>1051</v>
      </c>
      <c r="B1050" s="5">
        <f t="shared" si="49"/>
        <v>2099644.6760453312</v>
      </c>
      <c r="C1050" s="5">
        <f t="shared" si="50"/>
        <v>41992.893520906626</v>
      </c>
      <c r="D1050" s="5">
        <f t="shared" si="48"/>
        <v>12597.868056271987</v>
      </c>
      <c r="E1050" s="5" t="s">
        <v>1051</v>
      </c>
    </row>
    <row r="1051" spans="1:5" x14ac:dyDescent="0.25">
      <c r="A1051" s="6" t="s">
        <v>1052</v>
      </c>
      <c r="B1051" s="5">
        <f t="shared" si="49"/>
        <v>2112242.5441016033</v>
      </c>
      <c r="C1051" s="5">
        <f t="shared" si="50"/>
        <v>42244.850882032064</v>
      </c>
      <c r="D1051" s="5">
        <f t="shared" si="48"/>
        <v>12673.455264609618</v>
      </c>
      <c r="E1051" s="5" t="s">
        <v>1052</v>
      </c>
    </row>
    <row r="1052" spans="1:5" x14ac:dyDescent="0.25">
      <c r="A1052" s="6" t="s">
        <v>1053</v>
      </c>
      <c r="B1052" s="5">
        <f t="shared" si="49"/>
        <v>2124915.9993662131</v>
      </c>
      <c r="C1052" s="5">
        <f t="shared" si="50"/>
        <v>42498.319987324263</v>
      </c>
      <c r="D1052" s="5">
        <f t="shared" si="48"/>
        <v>12749.495996197278</v>
      </c>
      <c r="E1052" s="5" t="s">
        <v>1053</v>
      </c>
    </row>
    <row r="1053" spans="1:5" x14ac:dyDescent="0.25">
      <c r="A1053" s="6" t="s">
        <v>1054</v>
      </c>
      <c r="B1053" s="5">
        <f t="shared" si="49"/>
        <v>2137665.4953624103</v>
      </c>
      <c r="C1053" s="5">
        <f t="shared" si="50"/>
        <v>42753.309907248207</v>
      </c>
      <c r="D1053" s="5">
        <f t="shared" si="48"/>
        <v>12825.992972174461</v>
      </c>
      <c r="E1053" s="5" t="s">
        <v>1054</v>
      </c>
    </row>
    <row r="1054" spans="1:5" x14ac:dyDescent="0.25">
      <c r="A1054" s="6" t="s">
        <v>1055</v>
      </c>
      <c r="B1054" s="5">
        <f t="shared" si="49"/>
        <v>2150491.488334585</v>
      </c>
      <c r="C1054" s="5">
        <f t="shared" si="50"/>
        <v>43009.829766691699</v>
      </c>
      <c r="D1054" s="5">
        <f t="shared" si="48"/>
        <v>12902.948930007509</v>
      </c>
      <c r="E1054" s="5" t="s">
        <v>1055</v>
      </c>
    </row>
    <row r="1055" spans="1:5" x14ac:dyDescent="0.25">
      <c r="A1055" s="6" t="s">
        <v>1056</v>
      </c>
      <c r="B1055" s="5">
        <f t="shared" si="49"/>
        <v>2163394.4372645924</v>
      </c>
      <c r="C1055" s="5">
        <f t="shared" si="50"/>
        <v>43267.88874529185</v>
      </c>
      <c r="D1055" s="5">
        <f t="shared" si="48"/>
        <v>12980.366623587555</v>
      </c>
      <c r="E1055" s="5" t="s">
        <v>1056</v>
      </c>
    </row>
    <row r="1056" spans="1:5" x14ac:dyDescent="0.25">
      <c r="A1056" s="6" t="s">
        <v>1057</v>
      </c>
      <c r="B1056" s="5">
        <f t="shared" si="49"/>
        <v>2176374.8038881798</v>
      </c>
      <c r="C1056" s="5">
        <f t="shared" si="50"/>
        <v>43527.496077763601</v>
      </c>
      <c r="D1056" s="5">
        <f t="shared" si="48"/>
        <v>13058.248823329081</v>
      </c>
      <c r="E1056" s="5" t="s">
        <v>1057</v>
      </c>
    </row>
    <row r="1057" spans="1:5" x14ac:dyDescent="0.25">
      <c r="A1057" s="6" t="s">
        <v>1058</v>
      </c>
      <c r="B1057" s="5">
        <f t="shared" si="49"/>
        <v>2189433.0527115087</v>
      </c>
      <c r="C1057" s="5">
        <f t="shared" si="50"/>
        <v>43788.661054230171</v>
      </c>
      <c r="D1057" s="5">
        <f t="shared" si="48"/>
        <v>13136.598316269052</v>
      </c>
      <c r="E1057" s="5" t="s">
        <v>1058</v>
      </c>
    </row>
    <row r="1058" spans="1:5" x14ac:dyDescent="0.25">
      <c r="A1058" s="6" t="s">
        <v>1059</v>
      </c>
      <c r="B1058" s="5">
        <f t="shared" si="49"/>
        <v>2202569.6510277777</v>
      </c>
      <c r="C1058" s="5">
        <f t="shared" si="50"/>
        <v>44051.393020555552</v>
      </c>
      <c r="D1058" s="5">
        <f t="shared" si="48"/>
        <v>13215.417906166665</v>
      </c>
      <c r="E1058" s="5" t="s">
        <v>1059</v>
      </c>
    </row>
    <row r="1059" spans="1:5" x14ac:dyDescent="0.25">
      <c r="A1059" s="6" t="s">
        <v>1060</v>
      </c>
      <c r="B1059" s="5">
        <f t="shared" si="49"/>
        <v>2215785.0689339442</v>
      </c>
      <c r="C1059" s="5">
        <f t="shared" si="50"/>
        <v>44315.701378678888</v>
      </c>
      <c r="D1059" s="5">
        <f t="shared" si="48"/>
        <v>13294.710413603667</v>
      </c>
      <c r="E1059" s="5" t="s">
        <v>1060</v>
      </c>
    </row>
    <row r="1060" spans="1:5" x14ac:dyDescent="0.25">
      <c r="A1060" s="6" t="s">
        <v>1061</v>
      </c>
      <c r="B1060" s="5">
        <f t="shared" si="49"/>
        <v>2229079.7793475478</v>
      </c>
      <c r="C1060" s="5">
        <f t="shared" si="50"/>
        <v>44581.595586950956</v>
      </c>
      <c r="D1060" s="5">
        <f t="shared" si="48"/>
        <v>13374.478676085286</v>
      </c>
      <c r="E1060" s="5" t="s">
        <v>1061</v>
      </c>
    </row>
    <row r="1061" spans="1:5" x14ac:dyDescent="0.25">
      <c r="A1061" s="6" t="s">
        <v>1062</v>
      </c>
      <c r="B1061" s="5">
        <f t="shared" si="49"/>
        <v>2242454.2580236332</v>
      </c>
      <c r="C1061" s="5">
        <f t="shared" si="50"/>
        <v>44849.085160472663</v>
      </c>
      <c r="D1061" s="5">
        <f t="shared" si="48"/>
        <v>13454.725548141798</v>
      </c>
      <c r="E1061" s="5" t="s">
        <v>1062</v>
      </c>
    </row>
    <row r="1062" spans="1:5" x14ac:dyDescent="0.25">
      <c r="A1062" s="6" t="s">
        <v>1063</v>
      </c>
      <c r="B1062" s="5">
        <f t="shared" si="49"/>
        <v>2255908.9835717748</v>
      </c>
      <c r="C1062" s="5">
        <f t="shared" si="50"/>
        <v>45118.179671435493</v>
      </c>
      <c r="D1062" s="5">
        <f t="shared" si="48"/>
        <v>13535.453901430648</v>
      </c>
      <c r="E1062" s="5" t="s">
        <v>1063</v>
      </c>
    </row>
    <row r="1063" spans="1:5" x14ac:dyDescent="0.25">
      <c r="A1063" s="6" t="s">
        <v>1064</v>
      </c>
      <c r="B1063" s="5">
        <f t="shared" si="49"/>
        <v>2269444.4374732054</v>
      </c>
      <c r="C1063" s="5">
        <f t="shared" si="50"/>
        <v>45388.888749464109</v>
      </c>
      <c r="D1063" s="5">
        <f t="shared" si="48"/>
        <v>13616.666624839232</v>
      </c>
      <c r="E1063" s="5" t="s">
        <v>1064</v>
      </c>
    </row>
    <row r="1064" spans="1:5" x14ac:dyDescent="0.25">
      <c r="A1064" s="6" t="s">
        <v>1065</v>
      </c>
      <c r="B1064" s="5">
        <f t="shared" si="49"/>
        <v>2283061.1040980448</v>
      </c>
      <c r="C1064" s="5">
        <f t="shared" si="50"/>
        <v>45661.222081960899</v>
      </c>
      <c r="D1064" s="5">
        <f t="shared" si="48"/>
        <v>13698.366624588269</v>
      </c>
      <c r="E1064" s="5" t="s">
        <v>1065</v>
      </c>
    </row>
    <row r="1065" spans="1:5" x14ac:dyDescent="0.25">
      <c r="A1065" s="6" t="s">
        <v>1066</v>
      </c>
      <c r="B1065" s="5">
        <f t="shared" si="49"/>
        <v>2296759.4707226329</v>
      </c>
      <c r="C1065" s="5">
        <f t="shared" si="50"/>
        <v>45935.18941445266</v>
      </c>
      <c r="D1065" s="5">
        <f t="shared" si="48"/>
        <v>13780.556824335798</v>
      </c>
      <c r="E1065" s="5" t="s">
        <v>1066</v>
      </c>
    </row>
    <row r="1066" spans="1:5" x14ac:dyDescent="0.25">
      <c r="A1066" s="6" t="s">
        <v>1067</v>
      </c>
      <c r="B1066" s="5">
        <f t="shared" si="49"/>
        <v>2310540.0275469688</v>
      </c>
      <c r="C1066" s="5">
        <f t="shared" si="50"/>
        <v>46210.800550939377</v>
      </c>
      <c r="D1066" s="5">
        <f t="shared" si="48"/>
        <v>13863.240165281813</v>
      </c>
      <c r="E1066" s="5" t="s">
        <v>1067</v>
      </c>
    </row>
    <row r="1067" spans="1:5" x14ac:dyDescent="0.25">
      <c r="A1067" s="6" t="s">
        <v>1068</v>
      </c>
      <c r="B1067" s="5">
        <f t="shared" si="49"/>
        <v>2324403.2677122508</v>
      </c>
      <c r="C1067" s="5">
        <f t="shared" si="50"/>
        <v>46488.065354245016</v>
      </c>
      <c r="D1067" s="5">
        <f t="shared" si="48"/>
        <v>13946.419606273505</v>
      </c>
      <c r="E1067" s="5" t="s">
        <v>1068</v>
      </c>
    </row>
    <row r="1068" spans="1:5" x14ac:dyDescent="0.25">
      <c r="A1068" s="6" t="s">
        <v>1069</v>
      </c>
      <c r="B1068" s="5">
        <f t="shared" si="49"/>
        <v>2338349.6873185243</v>
      </c>
      <c r="C1068" s="5">
        <f t="shared" si="50"/>
        <v>46766.993746370485</v>
      </c>
      <c r="D1068" s="5">
        <f t="shared" si="48"/>
        <v>14030.098123911144</v>
      </c>
      <c r="E1068" s="5" t="s">
        <v>1069</v>
      </c>
    </row>
    <row r="1069" spans="1:5" x14ac:dyDescent="0.25">
      <c r="A1069" s="6" t="s">
        <v>1070</v>
      </c>
      <c r="B1069" s="5">
        <f t="shared" si="49"/>
        <v>2352379.7854424356</v>
      </c>
      <c r="C1069" s="5">
        <f t="shared" si="50"/>
        <v>47047.595708848712</v>
      </c>
      <c r="D1069" s="5">
        <f t="shared" si="48"/>
        <v>14114.278712654614</v>
      </c>
      <c r="E1069" s="5" t="s">
        <v>1070</v>
      </c>
    </row>
    <row r="1070" spans="1:5" x14ac:dyDescent="0.25">
      <c r="A1070" s="6" t="s">
        <v>1071</v>
      </c>
      <c r="B1070" s="5">
        <f t="shared" si="49"/>
        <v>2366494.0641550901</v>
      </c>
      <c r="C1070" s="5">
        <f t="shared" si="50"/>
        <v>47329.8812831018</v>
      </c>
      <c r="D1070" s="5">
        <f t="shared" si="48"/>
        <v>14198.964384930539</v>
      </c>
      <c r="E1070" s="5" t="s">
        <v>1071</v>
      </c>
    </row>
    <row r="1071" spans="1:5" x14ac:dyDescent="0.25">
      <c r="A1071" s="6" t="s">
        <v>1072</v>
      </c>
      <c r="B1071" s="5">
        <f t="shared" si="49"/>
        <v>2380693.0285400208</v>
      </c>
      <c r="C1071" s="5">
        <f t="shared" si="50"/>
        <v>47613.860570800418</v>
      </c>
      <c r="D1071" s="5">
        <f t="shared" si="48"/>
        <v>14284.158171240126</v>
      </c>
      <c r="E1071" s="5" t="s">
        <v>1072</v>
      </c>
    </row>
    <row r="1072" spans="1:5" x14ac:dyDescent="0.25">
      <c r="A1072" s="6" t="s">
        <v>1073</v>
      </c>
      <c r="B1072" s="5">
        <f t="shared" si="49"/>
        <v>2394977.186711261</v>
      </c>
      <c r="C1072" s="5">
        <f t="shared" si="50"/>
        <v>47899.543734225219</v>
      </c>
      <c r="D1072" s="5">
        <f t="shared" si="48"/>
        <v>14369.863120267566</v>
      </c>
      <c r="E1072" s="5" t="s">
        <v>1073</v>
      </c>
    </row>
    <row r="1073" spans="1:5" x14ac:dyDescent="0.25">
      <c r="A1073" s="6" t="s">
        <v>1074</v>
      </c>
      <c r="B1073" s="5">
        <f t="shared" si="49"/>
        <v>2409347.0498315287</v>
      </c>
      <c r="C1073" s="5">
        <f t="shared" si="50"/>
        <v>48186.940996630576</v>
      </c>
      <c r="D1073" s="5">
        <f t="shared" si="48"/>
        <v>14456.082298989173</v>
      </c>
      <c r="E1073" s="5" t="s">
        <v>1074</v>
      </c>
    </row>
    <row r="1074" spans="1:5" x14ac:dyDescent="0.25">
      <c r="A1074" s="6" t="s">
        <v>1075</v>
      </c>
      <c r="B1074" s="5">
        <f t="shared" si="49"/>
        <v>2423803.1321305176</v>
      </c>
      <c r="C1074" s="5">
        <f t="shared" si="50"/>
        <v>48476.062642610355</v>
      </c>
      <c r="D1074" s="5">
        <f t="shared" si="48"/>
        <v>14542.818792783106</v>
      </c>
      <c r="E1074" s="5" t="s">
        <v>1075</v>
      </c>
    </row>
    <row r="1075" spans="1:5" x14ac:dyDescent="0.25">
      <c r="A1075" s="6" t="s">
        <v>1076</v>
      </c>
      <c r="B1075" s="5">
        <f t="shared" si="49"/>
        <v>2438345.9509233008</v>
      </c>
      <c r="C1075" s="5">
        <f t="shared" si="50"/>
        <v>48766.919018466018</v>
      </c>
      <c r="D1075" s="5">
        <f t="shared" si="48"/>
        <v>14630.075705539804</v>
      </c>
      <c r="E1075" s="5" t="s">
        <v>1076</v>
      </c>
    </row>
    <row r="1076" spans="1:5" x14ac:dyDescent="0.25">
      <c r="A1076" s="6" t="s">
        <v>1077</v>
      </c>
      <c r="B1076" s="5">
        <f t="shared" si="49"/>
        <v>2452976.0266288407</v>
      </c>
      <c r="C1076" s="5">
        <f t="shared" si="50"/>
        <v>49059.520532576818</v>
      </c>
      <c r="D1076" s="5">
        <f t="shared" si="48"/>
        <v>14717.856159773046</v>
      </c>
      <c r="E1076" s="5" t="s">
        <v>1077</v>
      </c>
    </row>
    <row r="1077" spans="1:5" x14ac:dyDescent="0.25">
      <c r="A1077" s="6" t="s">
        <v>1078</v>
      </c>
      <c r="B1077" s="5">
        <f t="shared" si="49"/>
        <v>2467693.8827886139</v>
      </c>
      <c r="C1077" s="5">
        <f t="shared" si="50"/>
        <v>49353.877655772281</v>
      </c>
      <c r="D1077" s="5">
        <f t="shared" si="48"/>
        <v>14806.163296731684</v>
      </c>
      <c r="E1077" s="5" t="s">
        <v>1078</v>
      </c>
    </row>
    <row r="1078" spans="1:5" x14ac:dyDescent="0.25">
      <c r="A1078" s="6" t="s">
        <v>1079</v>
      </c>
      <c r="B1078" s="5">
        <f t="shared" si="49"/>
        <v>2482500.0460853456</v>
      </c>
      <c r="C1078" s="5">
        <f t="shared" si="50"/>
        <v>49650.000921706909</v>
      </c>
      <c r="D1078" s="5">
        <f t="shared" si="48"/>
        <v>14895.000276512072</v>
      </c>
      <c r="E1078" s="5" t="s">
        <v>1079</v>
      </c>
    </row>
    <row r="1079" spans="1:5" x14ac:dyDescent="0.25">
      <c r="A1079" s="6" t="s">
        <v>1080</v>
      </c>
      <c r="B1079" s="5">
        <f t="shared" si="49"/>
        <v>2497395.0463618576</v>
      </c>
      <c r="C1079" s="5">
        <f t="shared" si="50"/>
        <v>49947.900927237155</v>
      </c>
      <c r="D1079" s="5">
        <f t="shared" si="48"/>
        <v>14984.370278171145</v>
      </c>
      <c r="E1079" s="5" t="s">
        <v>1080</v>
      </c>
    </row>
    <row r="1080" spans="1:5" x14ac:dyDescent="0.25">
      <c r="A1080" s="6" t="s">
        <v>1081</v>
      </c>
      <c r="B1080" s="5">
        <f t="shared" si="49"/>
        <v>2512379.4166400288</v>
      </c>
      <c r="C1080" s="5">
        <f t="shared" si="50"/>
        <v>50247.58833280058</v>
      </c>
      <c r="D1080" s="5">
        <f t="shared" si="48"/>
        <v>15074.276499840173</v>
      </c>
      <c r="E1080" s="5" t="s">
        <v>1081</v>
      </c>
    </row>
    <row r="1081" spans="1:5" x14ac:dyDescent="0.25">
      <c r="A1081" s="6" t="s">
        <v>1082</v>
      </c>
      <c r="B1081" s="5">
        <f t="shared" si="49"/>
        <v>2527453.6931398688</v>
      </c>
      <c r="C1081" s="5">
        <f t="shared" si="50"/>
        <v>50549.073862797377</v>
      </c>
      <c r="D1081" s="5">
        <f t="shared" si="48"/>
        <v>15164.722158839213</v>
      </c>
      <c r="E1081" s="5" t="s">
        <v>1082</v>
      </c>
    </row>
    <row r="1082" spans="1:5" x14ac:dyDescent="0.25">
      <c r="A1082" s="6" t="s">
        <v>1083</v>
      </c>
      <c r="B1082" s="5">
        <f t="shared" si="49"/>
        <v>2542618.4152987078</v>
      </c>
      <c r="C1082" s="5">
        <f t="shared" si="50"/>
        <v>50852.36830597416</v>
      </c>
      <c r="D1082" s="5">
        <f t="shared" si="48"/>
        <v>15255.710491792248</v>
      </c>
      <c r="E1082" s="5" t="s">
        <v>1083</v>
      </c>
    </row>
    <row r="1083" spans="1:5" x14ac:dyDescent="0.25">
      <c r="A1083" s="6" t="s">
        <v>1084</v>
      </c>
      <c r="B1083" s="5">
        <f t="shared" si="49"/>
        <v>2557874.1257905001</v>
      </c>
      <c r="C1083" s="5">
        <f t="shared" si="50"/>
        <v>51157.482515809999</v>
      </c>
      <c r="D1083" s="5">
        <f t="shared" si="48"/>
        <v>15347.244754742998</v>
      </c>
      <c r="E1083" s="5" t="s">
        <v>1084</v>
      </c>
    </row>
    <row r="1084" spans="1:5" x14ac:dyDescent="0.25">
      <c r="A1084" s="6" t="s">
        <v>1085</v>
      </c>
      <c r="B1084" s="5">
        <f t="shared" si="49"/>
        <v>2573221.3705452429</v>
      </c>
      <c r="C1084" s="5">
        <f t="shared" si="50"/>
        <v>51464.427410904857</v>
      </c>
      <c r="D1084" s="5">
        <f t="shared" si="48"/>
        <v>15439.328223271455</v>
      </c>
      <c r="E1084" s="5" t="s">
        <v>1085</v>
      </c>
    </row>
    <row r="1085" spans="1:5" x14ac:dyDescent="0.25">
      <c r="A1085" s="6" t="s">
        <v>1086</v>
      </c>
      <c r="B1085" s="5">
        <f t="shared" si="49"/>
        <v>2588660.6987685142</v>
      </c>
      <c r="C1085" s="5">
        <f t="shared" si="50"/>
        <v>51773.213975370287</v>
      </c>
      <c r="D1085" s="5">
        <f t="shared" si="48"/>
        <v>15531.964192611085</v>
      </c>
      <c r="E1085" s="5" t="s">
        <v>1086</v>
      </c>
    </row>
    <row r="1086" spans="1:5" x14ac:dyDescent="0.25">
      <c r="A1086" s="6" t="s">
        <v>1087</v>
      </c>
      <c r="B1086" s="5">
        <f t="shared" si="49"/>
        <v>2604192.6629611254</v>
      </c>
      <c r="C1086" s="5">
        <f t="shared" si="50"/>
        <v>52083.853259222509</v>
      </c>
      <c r="D1086" s="5">
        <f t="shared" si="48"/>
        <v>15625.155977766752</v>
      </c>
      <c r="E1086" s="5" t="s">
        <v>1087</v>
      </c>
    </row>
    <row r="1087" spans="1:5" x14ac:dyDescent="0.25">
      <c r="A1087" s="6" t="s">
        <v>1088</v>
      </c>
      <c r="B1087" s="5">
        <f t="shared" si="49"/>
        <v>2619817.8189388923</v>
      </c>
      <c r="C1087" s="5">
        <f t="shared" si="50"/>
        <v>52396.356378777848</v>
      </c>
      <c r="D1087" s="5">
        <f t="shared" si="48"/>
        <v>15718.906913633353</v>
      </c>
      <c r="E1087" s="5" t="s">
        <v>1088</v>
      </c>
    </row>
    <row r="1088" spans="1:5" x14ac:dyDescent="0.25">
      <c r="A1088" s="6" t="s">
        <v>1089</v>
      </c>
      <c r="B1088" s="5">
        <f t="shared" si="49"/>
        <v>2635536.7258525258</v>
      </c>
      <c r="C1088" s="5">
        <f t="shared" si="50"/>
        <v>52710.734517050514</v>
      </c>
      <c r="D1088" s="5">
        <f t="shared" si="48"/>
        <v>15813.220355115154</v>
      </c>
      <c r="E1088" s="5" t="s">
        <v>1089</v>
      </c>
    </row>
    <row r="1089" spans="1:5" x14ac:dyDescent="0.25">
      <c r="A1089" s="6" t="s">
        <v>1090</v>
      </c>
      <c r="B1089" s="5">
        <f t="shared" si="49"/>
        <v>2651349.9462076412</v>
      </c>
      <c r="C1089" s="5">
        <f t="shared" si="50"/>
        <v>53026.998924152824</v>
      </c>
      <c r="D1089" s="5">
        <f t="shared" si="48"/>
        <v>15908.099677245846</v>
      </c>
      <c r="E1089" s="5" t="s">
        <v>1090</v>
      </c>
    </row>
    <row r="1090" spans="1:5" x14ac:dyDescent="0.25">
      <c r="A1090" s="6" t="s">
        <v>1091</v>
      </c>
      <c r="B1090" s="5">
        <f t="shared" si="49"/>
        <v>2667258.0458848872</v>
      </c>
      <c r="C1090" s="5">
        <f t="shared" si="50"/>
        <v>53345.160917697744</v>
      </c>
      <c r="D1090" s="5">
        <f t="shared" si="48"/>
        <v>16003.548275309322</v>
      </c>
      <c r="E1090" s="5" t="s">
        <v>1091</v>
      </c>
    </row>
    <row r="1091" spans="1:5" x14ac:dyDescent="0.25">
      <c r="A1091" s="6" t="s">
        <v>1092</v>
      </c>
      <c r="B1091" s="5">
        <f t="shared" si="49"/>
        <v>2683261.5941601964</v>
      </c>
      <c r="C1091" s="5">
        <f t="shared" si="50"/>
        <v>53665.231883203931</v>
      </c>
      <c r="D1091" s="5">
        <f t="shared" si="48"/>
        <v>16099.569564961179</v>
      </c>
      <c r="E1091" s="5" t="s">
        <v>1092</v>
      </c>
    </row>
    <row r="1092" spans="1:5" x14ac:dyDescent="0.25">
      <c r="A1092" s="6" t="s">
        <v>1093</v>
      </c>
      <c r="B1092" s="5">
        <f t="shared" si="49"/>
        <v>2699361.1637251577</v>
      </c>
      <c r="C1092" s="5">
        <f t="shared" si="50"/>
        <v>53987.223274503158</v>
      </c>
      <c r="D1092" s="5">
        <f t="shared" si="48"/>
        <v>16196.166982350947</v>
      </c>
      <c r="E1092" s="5" t="s">
        <v>1093</v>
      </c>
    </row>
    <row r="1093" spans="1:5" x14ac:dyDescent="0.25">
      <c r="A1093" s="6" t="s">
        <v>1094</v>
      </c>
      <c r="B1093" s="5">
        <f t="shared" si="49"/>
        <v>2715557.3307075086</v>
      </c>
      <c r="C1093" s="5">
        <f t="shared" si="50"/>
        <v>54311.146614150173</v>
      </c>
      <c r="D1093" s="5">
        <f t="shared" si="48"/>
        <v>16293.343984245052</v>
      </c>
      <c r="E1093" s="5" t="s">
        <v>1094</v>
      </c>
    </row>
    <row r="1094" spans="1:5" x14ac:dyDescent="0.25">
      <c r="A1094" s="6" t="s">
        <v>1095</v>
      </c>
      <c r="B1094" s="5">
        <f t="shared" si="49"/>
        <v>2731850.6746917535</v>
      </c>
      <c r="C1094" s="5">
        <f t="shared" si="50"/>
        <v>54637.013493835067</v>
      </c>
      <c r="D1094" s="5">
        <f t="shared" ref="D1094:D1157" si="51">C1094*$B$2*$E$2</f>
        <v>16391.104048150519</v>
      </c>
      <c r="E1094" s="5" t="s">
        <v>1095</v>
      </c>
    </row>
    <row r="1095" spans="1:5" x14ac:dyDescent="0.25">
      <c r="A1095" s="6" t="s">
        <v>1096</v>
      </c>
      <c r="B1095" s="5">
        <f t="shared" si="49"/>
        <v>2748241.7787399041</v>
      </c>
      <c r="C1095" s="5">
        <f t="shared" si="50"/>
        <v>54964.835574798082</v>
      </c>
      <c r="D1095" s="5">
        <f t="shared" si="51"/>
        <v>16489.450672439423</v>
      </c>
      <c r="E1095" s="5" t="s">
        <v>1096</v>
      </c>
    </row>
    <row r="1096" spans="1:5" x14ac:dyDescent="0.25">
      <c r="A1096" s="6" t="s">
        <v>1097</v>
      </c>
      <c r="B1096" s="5">
        <f t="shared" si="49"/>
        <v>2764731.2294123434</v>
      </c>
      <c r="C1096" s="5">
        <f t="shared" si="50"/>
        <v>55294.624588246865</v>
      </c>
      <c r="D1096" s="5">
        <f t="shared" si="51"/>
        <v>16588.38737647406</v>
      </c>
      <c r="E1096" s="5" t="s">
        <v>1097</v>
      </c>
    </row>
    <row r="1097" spans="1:5" x14ac:dyDescent="0.25">
      <c r="A1097" s="6" t="s">
        <v>1098</v>
      </c>
      <c r="B1097" s="5">
        <f t="shared" ref="B1097:B1160" si="52">B1096+D1096</f>
        <v>2781319.6167888176</v>
      </c>
      <c r="C1097" s="5">
        <f t="shared" ref="C1097:C1160" si="53">B1097*$C$2</f>
        <v>55626.392335776356</v>
      </c>
      <c r="D1097" s="5">
        <f t="shared" si="51"/>
        <v>16687.917700732905</v>
      </c>
      <c r="E1097" s="5" t="s">
        <v>1098</v>
      </c>
    </row>
    <row r="1098" spans="1:5" x14ac:dyDescent="0.25">
      <c r="A1098" s="6" t="s">
        <v>1099</v>
      </c>
      <c r="B1098" s="5">
        <f t="shared" si="52"/>
        <v>2798007.5344895506</v>
      </c>
      <c r="C1098" s="5">
        <f t="shared" si="53"/>
        <v>55960.150689791015</v>
      </c>
      <c r="D1098" s="5">
        <f t="shared" si="51"/>
        <v>16788.045206937302</v>
      </c>
      <c r="E1098" s="5" t="s">
        <v>1099</v>
      </c>
    </row>
    <row r="1099" spans="1:5" x14ac:dyDescent="0.25">
      <c r="A1099" s="6" t="s">
        <v>1100</v>
      </c>
      <c r="B1099" s="5">
        <f t="shared" si="52"/>
        <v>2814795.5796964881</v>
      </c>
      <c r="C1099" s="5">
        <f t="shared" si="53"/>
        <v>56295.911593929763</v>
      </c>
      <c r="D1099" s="5">
        <f t="shared" si="51"/>
        <v>16888.77347817893</v>
      </c>
      <c r="E1099" s="5" t="s">
        <v>1100</v>
      </c>
    </row>
    <row r="1100" spans="1:5" x14ac:dyDescent="0.25">
      <c r="A1100" s="6" t="s">
        <v>1101</v>
      </c>
      <c r="B1100" s="5">
        <f t="shared" si="52"/>
        <v>2831684.3531746669</v>
      </c>
      <c r="C1100" s="5">
        <f t="shared" si="53"/>
        <v>56633.687063493337</v>
      </c>
      <c r="D1100" s="5">
        <f t="shared" si="51"/>
        <v>16990.106119048</v>
      </c>
      <c r="E1100" s="5" t="s">
        <v>1101</v>
      </c>
    </row>
    <row r="1101" spans="1:5" x14ac:dyDescent="0.25">
      <c r="A1101" s="6" t="s">
        <v>1102</v>
      </c>
      <c r="B1101" s="5">
        <f t="shared" si="52"/>
        <v>2848674.4592937147</v>
      </c>
      <c r="C1101" s="5">
        <f t="shared" si="53"/>
        <v>56973.489185874292</v>
      </c>
      <c r="D1101" s="5">
        <f t="shared" si="51"/>
        <v>17092.046755762287</v>
      </c>
      <c r="E1101" s="5" t="s">
        <v>1102</v>
      </c>
    </row>
    <row r="1102" spans="1:5" x14ac:dyDescent="0.25">
      <c r="A1102" s="6" t="s">
        <v>1103</v>
      </c>
      <c r="B1102" s="5">
        <f t="shared" si="52"/>
        <v>2865766.506049477</v>
      </c>
      <c r="C1102" s="5">
        <f t="shared" si="53"/>
        <v>57315.330120989544</v>
      </c>
      <c r="D1102" s="5">
        <f t="shared" si="51"/>
        <v>17194.599036296862</v>
      </c>
      <c r="E1102" s="5" t="s">
        <v>1103</v>
      </c>
    </row>
    <row r="1103" spans="1:5" x14ac:dyDescent="0.25">
      <c r="A1103" s="6" t="s">
        <v>1104</v>
      </c>
      <c r="B1103" s="5">
        <f t="shared" si="52"/>
        <v>2882961.1050857739</v>
      </c>
      <c r="C1103" s="5">
        <f t="shared" si="53"/>
        <v>57659.222101715481</v>
      </c>
      <c r="D1103" s="5">
        <f t="shared" si="51"/>
        <v>17297.766630514645</v>
      </c>
      <c r="E1103" s="5" t="s">
        <v>1104</v>
      </c>
    </row>
    <row r="1104" spans="1:5" x14ac:dyDescent="0.25">
      <c r="A1104" s="6" t="s">
        <v>1105</v>
      </c>
      <c r="B1104" s="5">
        <f t="shared" si="52"/>
        <v>2900258.8717162884</v>
      </c>
      <c r="C1104" s="5">
        <f t="shared" si="53"/>
        <v>58005.177434325771</v>
      </c>
      <c r="D1104" s="5">
        <f t="shared" si="51"/>
        <v>17401.55323029773</v>
      </c>
      <c r="E1104" s="5" t="s">
        <v>1105</v>
      </c>
    </row>
    <row r="1105" spans="1:5" x14ac:dyDescent="0.25">
      <c r="A1105" s="6" t="s">
        <v>1106</v>
      </c>
      <c r="B1105" s="5">
        <f t="shared" si="52"/>
        <v>2917660.4249465861</v>
      </c>
      <c r="C1105" s="5">
        <f t="shared" si="53"/>
        <v>58353.208498931723</v>
      </c>
      <c r="D1105" s="5">
        <f t="shared" si="51"/>
        <v>17505.962549679516</v>
      </c>
      <c r="E1105" s="5" t="s">
        <v>1106</v>
      </c>
    </row>
    <row r="1106" spans="1:5" x14ac:dyDescent="0.25">
      <c r="A1106" s="6" t="s">
        <v>1107</v>
      </c>
      <c r="B1106" s="5">
        <f t="shared" si="52"/>
        <v>2935166.3874962656</v>
      </c>
      <c r="C1106" s="5">
        <f t="shared" si="53"/>
        <v>58703.327749925316</v>
      </c>
      <c r="D1106" s="5">
        <f t="shared" si="51"/>
        <v>17610.998324977594</v>
      </c>
      <c r="E1106" s="5" t="s">
        <v>1107</v>
      </c>
    </row>
    <row r="1107" spans="1:5" x14ac:dyDescent="0.25">
      <c r="A1107" s="6" t="s">
        <v>1108</v>
      </c>
      <c r="B1107" s="5">
        <f t="shared" si="52"/>
        <v>2952777.3858212433</v>
      </c>
      <c r="C1107" s="5">
        <f t="shared" si="53"/>
        <v>59055.547716424866</v>
      </c>
      <c r="D1107" s="5">
        <f t="shared" si="51"/>
        <v>17716.664314927461</v>
      </c>
      <c r="E1107" s="5" t="s">
        <v>1108</v>
      </c>
    </row>
    <row r="1108" spans="1:5" x14ac:dyDescent="0.25">
      <c r="A1108" s="6" t="s">
        <v>1109</v>
      </c>
      <c r="B1108" s="5">
        <f t="shared" si="52"/>
        <v>2970494.0501361708</v>
      </c>
      <c r="C1108" s="5">
        <f t="shared" si="53"/>
        <v>59409.881002723414</v>
      </c>
      <c r="D1108" s="5">
        <f t="shared" si="51"/>
        <v>17822.964300817024</v>
      </c>
      <c r="E1108" s="5" t="s">
        <v>1109</v>
      </c>
    </row>
    <row r="1109" spans="1:5" x14ac:dyDescent="0.25">
      <c r="A1109" s="6" t="s">
        <v>1110</v>
      </c>
      <c r="B1109" s="5">
        <f t="shared" si="52"/>
        <v>2988317.0144369877</v>
      </c>
      <c r="C1109" s="5">
        <f t="shared" si="53"/>
        <v>59766.340288739753</v>
      </c>
      <c r="D1109" s="5">
        <f t="shared" si="51"/>
        <v>17929.902086621925</v>
      </c>
      <c r="E1109" s="5" t="s">
        <v>1110</v>
      </c>
    </row>
    <row r="1110" spans="1:5" x14ac:dyDescent="0.25">
      <c r="A1110" s="6" t="s">
        <v>1111</v>
      </c>
      <c r="B1110" s="5">
        <f t="shared" si="52"/>
        <v>3006246.9165236098</v>
      </c>
      <c r="C1110" s="5">
        <f t="shared" si="53"/>
        <v>60124.9383304722</v>
      </c>
      <c r="D1110" s="5">
        <f t="shared" si="51"/>
        <v>18037.481499141661</v>
      </c>
      <c r="E1110" s="5" t="s">
        <v>1111</v>
      </c>
    </row>
    <row r="1111" spans="1:5" x14ac:dyDescent="0.25">
      <c r="A1111" s="6" t="s">
        <v>1112</v>
      </c>
      <c r="B1111" s="5">
        <f t="shared" si="52"/>
        <v>3024284.3980227513</v>
      </c>
      <c r="C1111" s="5">
        <f t="shared" si="53"/>
        <v>60485.687960455027</v>
      </c>
      <c r="D1111" s="5">
        <f t="shared" si="51"/>
        <v>18145.706388136507</v>
      </c>
      <c r="E1111" s="5" t="s">
        <v>1112</v>
      </c>
    </row>
    <row r="1112" spans="1:5" x14ac:dyDescent="0.25">
      <c r="A1112" s="6" t="s">
        <v>1113</v>
      </c>
      <c r="B1112" s="5">
        <f t="shared" si="52"/>
        <v>3042430.1044108877</v>
      </c>
      <c r="C1112" s="5">
        <f t="shared" si="53"/>
        <v>60848.602088217754</v>
      </c>
      <c r="D1112" s="5">
        <f t="shared" si="51"/>
        <v>18254.580626465326</v>
      </c>
      <c r="E1112" s="5" t="s">
        <v>1113</v>
      </c>
    </row>
    <row r="1113" spans="1:5" x14ac:dyDescent="0.25">
      <c r="A1113" s="6" t="s">
        <v>1114</v>
      </c>
      <c r="B1113" s="5">
        <f t="shared" si="52"/>
        <v>3060684.6850373531</v>
      </c>
      <c r="C1113" s="5">
        <f t="shared" si="53"/>
        <v>61213.693700747062</v>
      </c>
      <c r="D1113" s="5">
        <f t="shared" si="51"/>
        <v>18364.108110224119</v>
      </c>
      <c r="E1113" s="5" t="s">
        <v>1114</v>
      </c>
    </row>
    <row r="1114" spans="1:5" x14ac:dyDescent="0.25">
      <c r="A1114" s="6" t="s">
        <v>1115</v>
      </c>
      <c r="B1114" s="5">
        <f t="shared" si="52"/>
        <v>3079048.793147577</v>
      </c>
      <c r="C1114" s="5">
        <f t="shared" si="53"/>
        <v>61580.975862951542</v>
      </c>
      <c r="D1114" s="5">
        <f t="shared" si="51"/>
        <v>18474.292758885462</v>
      </c>
      <c r="E1114" s="5" t="s">
        <v>1115</v>
      </c>
    </row>
    <row r="1115" spans="1:5" x14ac:dyDescent="0.25">
      <c r="A1115" s="6" t="s">
        <v>1116</v>
      </c>
      <c r="B1115" s="5">
        <f t="shared" si="52"/>
        <v>3097523.0859064623</v>
      </c>
      <c r="C1115" s="5">
        <f t="shared" si="53"/>
        <v>61950.461718129249</v>
      </c>
      <c r="D1115" s="5">
        <f t="shared" si="51"/>
        <v>18585.138515438775</v>
      </c>
      <c r="E1115" s="5" t="s">
        <v>1116</v>
      </c>
    </row>
    <row r="1116" spans="1:5" x14ac:dyDescent="0.25">
      <c r="A1116" s="6" t="s">
        <v>1117</v>
      </c>
      <c r="B1116" s="5">
        <f t="shared" si="52"/>
        <v>3116108.2244219012</v>
      </c>
      <c r="C1116" s="5">
        <f t="shared" si="53"/>
        <v>62322.164488438022</v>
      </c>
      <c r="D1116" s="5">
        <f t="shared" si="51"/>
        <v>18696.649346531405</v>
      </c>
      <c r="E1116" s="5" t="s">
        <v>1117</v>
      </c>
    </row>
    <row r="1117" spans="1:5" x14ac:dyDescent="0.25">
      <c r="A1117" s="6" t="s">
        <v>1118</v>
      </c>
      <c r="B1117" s="5">
        <f t="shared" si="52"/>
        <v>3134804.8737684325</v>
      </c>
      <c r="C1117" s="5">
        <f t="shared" si="53"/>
        <v>62696.097475368653</v>
      </c>
      <c r="D1117" s="5">
        <f t="shared" si="51"/>
        <v>18808.829242610595</v>
      </c>
      <c r="E1117" s="5" t="s">
        <v>1118</v>
      </c>
    </row>
    <row r="1118" spans="1:5" x14ac:dyDescent="0.25">
      <c r="A1118" s="6" t="s">
        <v>1119</v>
      </c>
      <c r="B1118" s="5">
        <f t="shared" si="52"/>
        <v>3153613.7030110429</v>
      </c>
      <c r="C1118" s="5">
        <f t="shared" si="53"/>
        <v>63072.274060220858</v>
      </c>
      <c r="D1118" s="5">
        <f t="shared" si="51"/>
        <v>18921.682218066257</v>
      </c>
      <c r="E1118" s="5" t="s">
        <v>1119</v>
      </c>
    </row>
    <row r="1119" spans="1:5" x14ac:dyDescent="0.25">
      <c r="A1119" s="6" t="s">
        <v>1120</v>
      </c>
      <c r="B1119" s="5">
        <f t="shared" si="52"/>
        <v>3172535.3852291093</v>
      </c>
      <c r="C1119" s="5">
        <f t="shared" si="53"/>
        <v>63450.707704582186</v>
      </c>
      <c r="D1119" s="5">
        <f t="shared" si="51"/>
        <v>19035.212311374657</v>
      </c>
      <c r="E1119" s="5" t="s">
        <v>1120</v>
      </c>
    </row>
    <row r="1120" spans="1:5" x14ac:dyDescent="0.25">
      <c r="A1120" s="6" t="s">
        <v>1121</v>
      </c>
      <c r="B1120" s="5">
        <f t="shared" si="52"/>
        <v>3191570.5975404838</v>
      </c>
      <c r="C1120" s="5">
        <f t="shared" si="53"/>
        <v>63831.411950809677</v>
      </c>
      <c r="D1120" s="5">
        <f t="shared" si="51"/>
        <v>19149.423585242901</v>
      </c>
      <c r="E1120" s="5" t="s">
        <v>1121</v>
      </c>
    </row>
    <row r="1121" spans="1:5" x14ac:dyDescent="0.25">
      <c r="A1121" s="6" t="s">
        <v>1122</v>
      </c>
      <c r="B1121" s="5">
        <f t="shared" si="52"/>
        <v>3210720.0211257269</v>
      </c>
      <c r="C1121" s="5">
        <f t="shared" si="53"/>
        <v>64214.40042251454</v>
      </c>
      <c r="D1121" s="5">
        <f t="shared" si="51"/>
        <v>19264.320126754363</v>
      </c>
      <c r="E1121" s="5" t="s">
        <v>1122</v>
      </c>
    </row>
    <row r="1122" spans="1:5" x14ac:dyDescent="0.25">
      <c r="A1122" s="6" t="s">
        <v>1123</v>
      </c>
      <c r="B1122" s="5">
        <f t="shared" si="52"/>
        <v>3229984.3412524811</v>
      </c>
      <c r="C1122" s="5">
        <f t="shared" si="53"/>
        <v>64599.686825049626</v>
      </c>
      <c r="D1122" s="5">
        <f t="shared" si="51"/>
        <v>19379.906047514887</v>
      </c>
      <c r="E1122" s="5" t="s">
        <v>1123</v>
      </c>
    </row>
    <row r="1123" spans="1:5" x14ac:dyDescent="0.25">
      <c r="A1123" s="6" t="s">
        <v>1124</v>
      </c>
      <c r="B1123" s="5">
        <f t="shared" si="52"/>
        <v>3249364.2472999962</v>
      </c>
      <c r="C1123" s="5">
        <f t="shared" si="53"/>
        <v>64987.284945999927</v>
      </c>
      <c r="D1123" s="5">
        <f t="shared" si="51"/>
        <v>19496.185483799978</v>
      </c>
      <c r="E1123" s="5" t="s">
        <v>1124</v>
      </c>
    </row>
    <row r="1124" spans="1:5" x14ac:dyDescent="0.25">
      <c r="A1124" s="6" t="s">
        <v>1125</v>
      </c>
      <c r="B1124" s="5">
        <f t="shared" si="52"/>
        <v>3268860.432783796</v>
      </c>
      <c r="C1124" s="5">
        <f t="shared" si="53"/>
        <v>65377.208655675924</v>
      </c>
      <c r="D1124" s="5">
        <f t="shared" si="51"/>
        <v>19613.162596702776</v>
      </c>
      <c r="E1124" s="5" t="s">
        <v>1125</v>
      </c>
    </row>
    <row r="1125" spans="1:5" x14ac:dyDescent="0.25">
      <c r="A1125" s="6" t="s">
        <v>1126</v>
      </c>
      <c r="B1125" s="5">
        <f t="shared" si="52"/>
        <v>3288473.5953804986</v>
      </c>
      <c r="C1125" s="5">
        <f t="shared" si="53"/>
        <v>65769.471907609972</v>
      </c>
      <c r="D1125" s="5">
        <f t="shared" si="51"/>
        <v>19730.841572282992</v>
      </c>
      <c r="E1125" s="5" t="s">
        <v>1126</v>
      </c>
    </row>
    <row r="1126" spans="1:5" x14ac:dyDescent="0.25">
      <c r="A1126" s="6" t="s">
        <v>1127</v>
      </c>
      <c r="B1126" s="5">
        <f t="shared" si="52"/>
        <v>3308204.4369527814</v>
      </c>
      <c r="C1126" s="5">
        <f t="shared" si="53"/>
        <v>66164.088739055631</v>
      </c>
      <c r="D1126" s="5">
        <f t="shared" si="51"/>
        <v>19849.226621716687</v>
      </c>
      <c r="E1126" s="5" t="s">
        <v>1127</v>
      </c>
    </row>
    <row r="1127" spans="1:5" x14ac:dyDescent="0.25">
      <c r="A1127" s="6" t="s">
        <v>1128</v>
      </c>
      <c r="B1127" s="5">
        <f t="shared" si="52"/>
        <v>3328053.6635744981</v>
      </c>
      <c r="C1127" s="5">
        <f t="shared" si="53"/>
        <v>66561.073271489964</v>
      </c>
      <c r="D1127" s="5">
        <f t="shared" si="51"/>
        <v>19968.321981446989</v>
      </c>
      <c r="E1127" s="5" t="s">
        <v>1128</v>
      </c>
    </row>
    <row r="1128" spans="1:5" x14ac:dyDescent="0.25">
      <c r="A1128" s="6" t="s">
        <v>1129</v>
      </c>
      <c r="B1128" s="5">
        <f t="shared" si="52"/>
        <v>3348021.985555945</v>
      </c>
      <c r="C1128" s="5">
        <f t="shared" si="53"/>
        <v>66960.439711118903</v>
      </c>
      <c r="D1128" s="5">
        <f t="shared" si="51"/>
        <v>20088.13191333567</v>
      </c>
      <c r="E1128" s="5" t="s">
        <v>1129</v>
      </c>
    </row>
    <row r="1129" spans="1:5" x14ac:dyDescent="0.25">
      <c r="A1129" s="6" t="s">
        <v>1130</v>
      </c>
      <c r="B1129" s="5">
        <f t="shared" si="52"/>
        <v>3368110.1174692805</v>
      </c>
      <c r="C1129" s="5">
        <f t="shared" si="53"/>
        <v>67362.20234938561</v>
      </c>
      <c r="D1129" s="5">
        <f t="shared" si="51"/>
        <v>20208.660704815684</v>
      </c>
      <c r="E1129" s="5" t="s">
        <v>1130</v>
      </c>
    </row>
    <row r="1130" spans="1:5" x14ac:dyDescent="0.25">
      <c r="A1130" s="6" t="s">
        <v>1131</v>
      </c>
      <c r="B1130" s="5">
        <f t="shared" si="52"/>
        <v>3388318.7781740963</v>
      </c>
      <c r="C1130" s="5">
        <f t="shared" si="53"/>
        <v>67766.375563481924</v>
      </c>
      <c r="D1130" s="5">
        <f t="shared" si="51"/>
        <v>20329.912669044577</v>
      </c>
      <c r="E1130" s="5" t="s">
        <v>1131</v>
      </c>
    </row>
    <row r="1131" spans="1:5" x14ac:dyDescent="0.25">
      <c r="A1131" s="6" t="s">
        <v>1132</v>
      </c>
      <c r="B1131" s="5">
        <f t="shared" si="52"/>
        <v>3408648.6908431407</v>
      </c>
      <c r="C1131" s="5">
        <f t="shared" si="53"/>
        <v>68172.97381686281</v>
      </c>
      <c r="D1131" s="5">
        <f t="shared" si="51"/>
        <v>20451.892145058842</v>
      </c>
      <c r="E1131" s="5" t="s">
        <v>1132</v>
      </c>
    </row>
    <row r="1132" spans="1:5" x14ac:dyDescent="0.25">
      <c r="A1132" s="6" t="s">
        <v>1133</v>
      </c>
      <c r="B1132" s="5">
        <f t="shared" si="52"/>
        <v>3429100.5829881998</v>
      </c>
      <c r="C1132" s="5">
        <f t="shared" si="53"/>
        <v>68582.011659764001</v>
      </c>
      <c r="D1132" s="5">
        <f t="shared" si="51"/>
        <v>20574.603497929198</v>
      </c>
      <c r="E1132" s="5" t="s">
        <v>1133</v>
      </c>
    </row>
    <row r="1133" spans="1:5" x14ac:dyDescent="0.25">
      <c r="A1133" s="6" t="s">
        <v>1134</v>
      </c>
      <c r="B1133" s="5">
        <f t="shared" si="52"/>
        <v>3449675.1864861292</v>
      </c>
      <c r="C1133" s="5">
        <f t="shared" si="53"/>
        <v>68993.503729722579</v>
      </c>
      <c r="D1133" s="5">
        <f t="shared" si="51"/>
        <v>20698.051118916774</v>
      </c>
      <c r="E1133" s="5" t="s">
        <v>1134</v>
      </c>
    </row>
    <row r="1134" spans="1:5" x14ac:dyDescent="0.25">
      <c r="A1134" s="6" t="s">
        <v>1135</v>
      </c>
      <c r="B1134" s="5">
        <f t="shared" si="52"/>
        <v>3470373.237605046</v>
      </c>
      <c r="C1134" s="5">
        <f t="shared" si="53"/>
        <v>69407.464752100917</v>
      </c>
      <c r="D1134" s="5">
        <f t="shared" si="51"/>
        <v>20822.239425630276</v>
      </c>
      <c r="E1134" s="5" t="s">
        <v>1135</v>
      </c>
    </row>
    <row r="1135" spans="1:5" x14ac:dyDescent="0.25">
      <c r="A1135" s="6" t="s">
        <v>1136</v>
      </c>
      <c r="B1135" s="5">
        <f t="shared" si="52"/>
        <v>3491195.4770306763</v>
      </c>
      <c r="C1135" s="5">
        <f t="shared" si="53"/>
        <v>69823.909540613531</v>
      </c>
      <c r="D1135" s="5">
        <f t="shared" si="51"/>
        <v>20947.172862184059</v>
      </c>
      <c r="E1135" s="5" t="s">
        <v>1136</v>
      </c>
    </row>
    <row r="1136" spans="1:5" x14ac:dyDescent="0.25">
      <c r="A1136" s="6" t="s">
        <v>1137</v>
      </c>
      <c r="B1136" s="5">
        <f t="shared" si="52"/>
        <v>3512142.6498928606</v>
      </c>
      <c r="C1136" s="5">
        <f t="shared" si="53"/>
        <v>70242.852997857219</v>
      </c>
      <c r="D1136" s="5">
        <f t="shared" si="51"/>
        <v>21072.855899357164</v>
      </c>
      <c r="E1136" s="5" t="s">
        <v>1137</v>
      </c>
    </row>
    <row r="1137" spans="1:5" x14ac:dyDescent="0.25">
      <c r="A1137" s="6" t="s">
        <v>1138</v>
      </c>
      <c r="B1137" s="5">
        <f t="shared" si="52"/>
        <v>3533215.5057922178</v>
      </c>
      <c r="C1137" s="5">
        <f t="shared" si="53"/>
        <v>70664.310115844361</v>
      </c>
      <c r="D1137" s="5">
        <f t="shared" si="51"/>
        <v>21199.293034753307</v>
      </c>
      <c r="E1137" s="5" t="s">
        <v>1138</v>
      </c>
    </row>
    <row r="1138" spans="1:5" x14ac:dyDescent="0.25">
      <c r="A1138" s="6" t="s">
        <v>1139</v>
      </c>
      <c r="B1138" s="5">
        <f t="shared" si="52"/>
        <v>3554414.7988269711</v>
      </c>
      <c r="C1138" s="5">
        <f t="shared" si="53"/>
        <v>71088.295976539419</v>
      </c>
      <c r="D1138" s="5">
        <f t="shared" si="51"/>
        <v>21326.488792961823</v>
      </c>
      <c r="E1138" s="5" t="s">
        <v>1139</v>
      </c>
    </row>
    <row r="1139" spans="1:5" x14ac:dyDescent="0.25">
      <c r="A1139" s="6" t="s">
        <v>1140</v>
      </c>
      <c r="B1139" s="5">
        <f t="shared" si="52"/>
        <v>3575741.287619933</v>
      </c>
      <c r="C1139" s="5">
        <f t="shared" si="53"/>
        <v>71514.825752398669</v>
      </c>
      <c r="D1139" s="5">
        <f t="shared" si="51"/>
        <v>21454.447725719601</v>
      </c>
      <c r="E1139" s="5" t="s">
        <v>1140</v>
      </c>
    </row>
    <row r="1140" spans="1:5" x14ac:dyDescent="0.25">
      <c r="A1140" s="6" t="s">
        <v>1141</v>
      </c>
      <c r="B1140" s="5">
        <f t="shared" si="52"/>
        <v>3597195.7353456528</v>
      </c>
      <c r="C1140" s="5">
        <f t="shared" si="53"/>
        <v>71943.914706913056</v>
      </c>
      <c r="D1140" s="5">
        <f t="shared" si="51"/>
        <v>21583.174412073917</v>
      </c>
      <c r="E1140" s="5" t="s">
        <v>1141</v>
      </c>
    </row>
    <row r="1141" spans="1:5" x14ac:dyDescent="0.25">
      <c r="A1141" s="6" t="s">
        <v>1142</v>
      </c>
      <c r="B1141" s="5">
        <f t="shared" si="52"/>
        <v>3618778.9097577268</v>
      </c>
      <c r="C1141" s="5">
        <f t="shared" si="53"/>
        <v>72375.578195154536</v>
      </c>
      <c r="D1141" s="5">
        <f t="shared" si="51"/>
        <v>21712.67345854636</v>
      </c>
      <c r="E1141" s="5" t="s">
        <v>1142</v>
      </c>
    </row>
    <row r="1142" spans="1:5" x14ac:dyDescent="0.25">
      <c r="A1142" s="6" t="s">
        <v>1143</v>
      </c>
      <c r="B1142" s="5">
        <f t="shared" si="52"/>
        <v>3640491.5832162732</v>
      </c>
      <c r="C1142" s="5">
        <f t="shared" si="53"/>
        <v>72809.831664325466</v>
      </c>
      <c r="D1142" s="5">
        <f t="shared" si="51"/>
        <v>21842.94949929764</v>
      </c>
      <c r="E1142" s="5" t="s">
        <v>1143</v>
      </c>
    </row>
    <row r="1143" spans="1:5" x14ac:dyDescent="0.25">
      <c r="A1143" s="6" t="s">
        <v>1144</v>
      </c>
      <c r="B1143" s="5">
        <f t="shared" si="52"/>
        <v>3662334.5327155706</v>
      </c>
      <c r="C1143" s="5">
        <f t="shared" si="53"/>
        <v>73246.690654311416</v>
      </c>
      <c r="D1143" s="5">
        <f t="shared" si="51"/>
        <v>21974.007196293423</v>
      </c>
      <c r="E1143" s="5" t="s">
        <v>1144</v>
      </c>
    </row>
    <row r="1144" spans="1:5" x14ac:dyDescent="0.25">
      <c r="A1144" s="6" t="s">
        <v>1145</v>
      </c>
      <c r="B1144" s="5">
        <f t="shared" si="52"/>
        <v>3684308.5399118639</v>
      </c>
      <c r="C1144" s="5">
        <f t="shared" si="53"/>
        <v>73686.170798237275</v>
      </c>
      <c r="D1144" s="5">
        <f t="shared" si="51"/>
        <v>22105.851239471183</v>
      </c>
      <c r="E1144" s="5" t="s">
        <v>1145</v>
      </c>
    </row>
    <row r="1145" spans="1:5" x14ac:dyDescent="0.25">
      <c r="A1145" s="6" t="s">
        <v>1146</v>
      </c>
      <c r="B1145" s="5">
        <f t="shared" si="52"/>
        <v>3706414.3911513351</v>
      </c>
      <c r="C1145" s="5">
        <f t="shared" si="53"/>
        <v>74128.287823026709</v>
      </c>
      <c r="D1145" s="5">
        <f t="shared" si="51"/>
        <v>22238.486346908012</v>
      </c>
      <c r="E1145" s="5" t="s">
        <v>1146</v>
      </c>
    </row>
    <row r="1146" spans="1:5" x14ac:dyDescent="0.25">
      <c r="A1146" s="6" t="s">
        <v>1147</v>
      </c>
      <c r="B1146" s="5">
        <f t="shared" si="52"/>
        <v>3728652.877498243</v>
      </c>
      <c r="C1146" s="5">
        <f t="shared" si="53"/>
        <v>74573.057549964855</v>
      </c>
      <c r="D1146" s="5">
        <f t="shared" si="51"/>
        <v>22371.917264989457</v>
      </c>
      <c r="E1146" s="5" t="s">
        <v>1147</v>
      </c>
    </row>
    <row r="1147" spans="1:5" x14ac:dyDescent="0.25">
      <c r="A1147" s="6" t="s">
        <v>1148</v>
      </c>
      <c r="B1147" s="5">
        <f t="shared" si="52"/>
        <v>3751024.7947632326</v>
      </c>
      <c r="C1147" s="5">
        <f t="shared" si="53"/>
        <v>75020.495895264656</v>
      </c>
      <c r="D1147" s="5">
        <f t="shared" si="51"/>
        <v>22506.148768579395</v>
      </c>
      <c r="E1147" s="5" t="s">
        <v>1148</v>
      </c>
    </row>
    <row r="1148" spans="1:5" x14ac:dyDescent="0.25">
      <c r="A1148" s="6" t="s">
        <v>1149</v>
      </c>
      <c r="B1148" s="5">
        <f t="shared" si="52"/>
        <v>3773530.9435318122</v>
      </c>
      <c r="C1148" s="5">
        <f t="shared" si="53"/>
        <v>75470.618870636245</v>
      </c>
      <c r="D1148" s="5">
        <f t="shared" si="51"/>
        <v>22641.185661190873</v>
      </c>
      <c r="E1148" s="5" t="s">
        <v>1149</v>
      </c>
    </row>
    <row r="1149" spans="1:5" x14ac:dyDescent="0.25">
      <c r="A1149" s="6" t="s">
        <v>1150</v>
      </c>
      <c r="B1149" s="5">
        <f t="shared" si="52"/>
        <v>3796172.1291930028</v>
      </c>
      <c r="C1149" s="5">
        <f t="shared" si="53"/>
        <v>75923.442583860058</v>
      </c>
      <c r="D1149" s="5">
        <f t="shared" si="51"/>
        <v>22777.032775158015</v>
      </c>
      <c r="E1149" s="5" t="s">
        <v>1150</v>
      </c>
    </row>
    <row r="1150" spans="1:5" x14ac:dyDescent="0.25">
      <c r="A1150" s="6" t="s">
        <v>1151</v>
      </c>
      <c r="B1150" s="5">
        <f t="shared" si="52"/>
        <v>3818949.1619681609</v>
      </c>
      <c r="C1150" s="5">
        <f t="shared" si="53"/>
        <v>76378.983239363224</v>
      </c>
      <c r="D1150" s="5">
        <f t="shared" si="51"/>
        <v>22913.694971808967</v>
      </c>
      <c r="E1150" s="5" t="s">
        <v>1151</v>
      </c>
    </row>
    <row r="1151" spans="1:5" x14ac:dyDescent="0.25">
      <c r="A1151" s="6" t="s">
        <v>1152</v>
      </c>
      <c r="B1151" s="5">
        <f t="shared" si="52"/>
        <v>3841862.8569399701</v>
      </c>
      <c r="C1151" s="5">
        <f t="shared" si="53"/>
        <v>76837.257138799396</v>
      </c>
      <c r="D1151" s="5">
        <f t="shared" si="51"/>
        <v>23051.177141639819</v>
      </c>
      <c r="E1151" s="5" t="s">
        <v>1152</v>
      </c>
    </row>
    <row r="1152" spans="1:5" x14ac:dyDescent="0.25">
      <c r="A1152" s="6" t="s">
        <v>1153</v>
      </c>
      <c r="B1152" s="5">
        <f t="shared" si="52"/>
        <v>3864914.0340816099</v>
      </c>
      <c r="C1152" s="5">
        <f t="shared" si="53"/>
        <v>77298.280681632197</v>
      </c>
      <c r="D1152" s="5">
        <f t="shared" si="51"/>
        <v>23189.484204489658</v>
      </c>
      <c r="E1152" s="5" t="s">
        <v>1153</v>
      </c>
    </row>
    <row r="1153" spans="1:5" x14ac:dyDescent="0.25">
      <c r="A1153" s="6" t="s">
        <v>1154</v>
      </c>
      <c r="B1153" s="5">
        <f t="shared" si="52"/>
        <v>3888103.5182860997</v>
      </c>
      <c r="C1153" s="5">
        <f t="shared" si="53"/>
        <v>77762.070365722</v>
      </c>
      <c r="D1153" s="5">
        <f t="shared" si="51"/>
        <v>23328.621109716598</v>
      </c>
      <c r="E1153" s="5" t="s">
        <v>1154</v>
      </c>
    </row>
    <row r="1154" spans="1:5" x14ac:dyDescent="0.25">
      <c r="A1154" s="6" t="s">
        <v>1155</v>
      </c>
      <c r="B1154" s="5">
        <f t="shared" si="52"/>
        <v>3911432.1393958163</v>
      </c>
      <c r="C1154" s="5">
        <f t="shared" si="53"/>
        <v>78228.642787916324</v>
      </c>
      <c r="D1154" s="5">
        <f t="shared" si="51"/>
        <v>23468.592836374897</v>
      </c>
      <c r="E1154" s="5" t="s">
        <v>1155</v>
      </c>
    </row>
    <row r="1155" spans="1:5" x14ac:dyDescent="0.25">
      <c r="A1155" s="6" t="s">
        <v>1156</v>
      </c>
      <c r="B1155" s="5">
        <f t="shared" si="52"/>
        <v>3934900.7322321911</v>
      </c>
      <c r="C1155" s="5">
        <f t="shared" si="53"/>
        <v>78698.01464464383</v>
      </c>
      <c r="D1155" s="5">
        <f t="shared" si="51"/>
        <v>23609.40439339315</v>
      </c>
      <c r="E1155" s="5" t="s">
        <v>1156</v>
      </c>
    </row>
    <row r="1156" spans="1:5" x14ac:dyDescent="0.25">
      <c r="A1156" s="6" t="s">
        <v>1157</v>
      </c>
      <c r="B1156" s="5">
        <f t="shared" si="52"/>
        <v>3958510.1366255842</v>
      </c>
      <c r="C1156" s="5">
        <f t="shared" si="53"/>
        <v>79170.20273251168</v>
      </c>
      <c r="D1156" s="5">
        <f t="shared" si="51"/>
        <v>23751.060819753504</v>
      </c>
      <c r="E1156" s="5" t="s">
        <v>1157</v>
      </c>
    </row>
    <row r="1157" spans="1:5" x14ac:dyDescent="0.25">
      <c r="A1157" s="6" t="s">
        <v>1158</v>
      </c>
      <c r="B1157" s="5">
        <f t="shared" si="52"/>
        <v>3982261.1974453377</v>
      </c>
      <c r="C1157" s="5">
        <f t="shared" si="53"/>
        <v>79645.223948906758</v>
      </c>
      <c r="D1157" s="5">
        <f t="shared" si="51"/>
        <v>23893.567184672025</v>
      </c>
      <c r="E1157" s="5" t="s">
        <v>1158</v>
      </c>
    </row>
    <row r="1158" spans="1:5" x14ac:dyDescent="0.25">
      <c r="A1158" s="6" t="s">
        <v>1159</v>
      </c>
      <c r="B1158" s="5">
        <f t="shared" si="52"/>
        <v>4006154.7646300099</v>
      </c>
      <c r="C1158" s="5">
        <f t="shared" si="53"/>
        <v>80123.095292600206</v>
      </c>
      <c r="D1158" s="5">
        <f t="shared" ref="D1158:D1204" si="54">C1158*$B$2*$E$2</f>
        <v>24036.928587780061</v>
      </c>
      <c r="E1158" s="5" t="s">
        <v>1159</v>
      </c>
    </row>
    <row r="1159" spans="1:5" x14ac:dyDescent="0.25">
      <c r="A1159" s="6" t="s">
        <v>1160</v>
      </c>
      <c r="B1159" s="5">
        <f t="shared" si="52"/>
        <v>4030191.6932177898</v>
      </c>
      <c r="C1159" s="5">
        <f t="shared" si="53"/>
        <v>80603.833864355795</v>
      </c>
      <c r="D1159" s="5">
        <f t="shared" si="54"/>
        <v>24181.150159306737</v>
      </c>
      <c r="E1159" s="5" t="s">
        <v>1160</v>
      </c>
    </row>
    <row r="1160" spans="1:5" x14ac:dyDescent="0.25">
      <c r="A1160" s="6" t="s">
        <v>1161</v>
      </c>
      <c r="B1160" s="5">
        <f t="shared" si="52"/>
        <v>4054372.8433770966</v>
      </c>
      <c r="C1160" s="5">
        <f t="shared" si="53"/>
        <v>81087.456867541929</v>
      </c>
      <c r="D1160" s="5">
        <f t="shared" si="54"/>
        <v>24326.237060262578</v>
      </c>
      <c r="E1160" s="5" t="s">
        <v>1161</v>
      </c>
    </row>
    <row r="1161" spans="1:5" x14ac:dyDescent="0.25">
      <c r="A1161" s="6" t="s">
        <v>1162</v>
      </c>
      <c r="B1161" s="5">
        <f t="shared" ref="B1161:B1204" si="55">B1160+D1160</f>
        <v>4078699.0804373589</v>
      </c>
      <c r="C1161" s="5">
        <f t="shared" ref="C1161:C1204" si="56">B1161*$C$2</f>
        <v>81573.981608747185</v>
      </c>
      <c r="D1161" s="5">
        <f t="shared" si="54"/>
        <v>24472.194482624156</v>
      </c>
      <c r="E1161" s="5" t="s">
        <v>1162</v>
      </c>
    </row>
    <row r="1162" spans="1:5" x14ac:dyDescent="0.25">
      <c r="A1162" s="6" t="s">
        <v>1163</v>
      </c>
      <c r="B1162" s="5">
        <f t="shared" si="55"/>
        <v>4103171.274919983</v>
      </c>
      <c r="C1162" s="5">
        <f t="shared" si="56"/>
        <v>82063.425498399665</v>
      </c>
      <c r="D1162" s="5">
        <f t="shared" si="54"/>
        <v>24619.0276495199</v>
      </c>
      <c r="E1162" s="5" t="s">
        <v>1163</v>
      </c>
    </row>
    <row r="1163" spans="1:5" x14ac:dyDescent="0.25">
      <c r="A1163" s="6" t="s">
        <v>1164</v>
      </c>
      <c r="B1163" s="5">
        <f t="shared" si="55"/>
        <v>4127790.302569503</v>
      </c>
      <c r="C1163" s="5">
        <f t="shared" si="56"/>
        <v>82555.806051390056</v>
      </c>
      <c r="D1163" s="5">
        <f t="shared" si="54"/>
        <v>24766.741815417015</v>
      </c>
      <c r="E1163" s="5" t="s">
        <v>1164</v>
      </c>
    </row>
    <row r="1164" spans="1:5" x14ac:dyDescent="0.25">
      <c r="A1164" s="6" t="s">
        <v>1165</v>
      </c>
      <c r="B1164" s="5">
        <f t="shared" si="55"/>
        <v>4152557.04438492</v>
      </c>
      <c r="C1164" s="5">
        <f t="shared" si="56"/>
        <v>83051.140887698406</v>
      </c>
      <c r="D1164" s="5">
        <f t="shared" si="54"/>
        <v>24915.342266309523</v>
      </c>
      <c r="E1164" s="5" t="s">
        <v>1165</v>
      </c>
    </row>
    <row r="1165" spans="1:5" x14ac:dyDescent="0.25">
      <c r="A1165" s="6" t="s">
        <v>1166</v>
      </c>
      <c r="B1165" s="5">
        <f t="shared" si="55"/>
        <v>4177472.3866512296</v>
      </c>
      <c r="C1165" s="5">
        <f t="shared" si="56"/>
        <v>83549.447733024586</v>
      </c>
      <c r="D1165" s="5">
        <f t="shared" si="54"/>
        <v>25064.834319907375</v>
      </c>
      <c r="E1165" s="5" t="s">
        <v>1166</v>
      </c>
    </row>
    <row r="1166" spans="1:5" x14ac:dyDescent="0.25">
      <c r="A1166" s="6" t="s">
        <v>1167</v>
      </c>
      <c r="B1166" s="5">
        <f t="shared" si="55"/>
        <v>4202537.2209711373</v>
      </c>
      <c r="C1166" s="5">
        <f t="shared" si="56"/>
        <v>84050.744419422743</v>
      </c>
      <c r="D1166" s="5">
        <f t="shared" si="54"/>
        <v>25215.223325826821</v>
      </c>
      <c r="E1166" s="5" t="s">
        <v>1167</v>
      </c>
    </row>
    <row r="1167" spans="1:5" x14ac:dyDescent="0.25">
      <c r="A1167" s="6" t="s">
        <v>1168</v>
      </c>
      <c r="B1167" s="5">
        <f t="shared" si="55"/>
        <v>4227752.4442969644</v>
      </c>
      <c r="C1167" s="5">
        <f t="shared" si="56"/>
        <v>84555.048885939294</v>
      </c>
      <c r="D1167" s="5">
        <f t="shared" si="54"/>
        <v>25366.514665781786</v>
      </c>
      <c r="E1167" s="5" t="s">
        <v>1168</v>
      </c>
    </row>
    <row r="1168" spans="1:5" x14ac:dyDescent="0.25">
      <c r="A1168" s="6" t="s">
        <v>1169</v>
      </c>
      <c r="B1168" s="5">
        <f t="shared" si="55"/>
        <v>4253118.958962746</v>
      </c>
      <c r="C1168" s="5">
        <f t="shared" si="56"/>
        <v>85062.379179254916</v>
      </c>
      <c r="D1168" s="5">
        <f t="shared" si="54"/>
        <v>25518.713753776476</v>
      </c>
      <c r="E1168" s="5" t="s">
        <v>1169</v>
      </c>
    </row>
    <row r="1169" spans="1:5" x14ac:dyDescent="0.25">
      <c r="A1169" s="6" t="s">
        <v>1170</v>
      </c>
      <c r="B1169" s="5">
        <f t="shared" si="55"/>
        <v>4278637.6727165226</v>
      </c>
      <c r="C1169" s="5">
        <f t="shared" si="56"/>
        <v>85572.75345433045</v>
      </c>
      <c r="D1169" s="5">
        <f t="shared" si="54"/>
        <v>25671.826036299135</v>
      </c>
      <c r="E1169" s="5" t="s">
        <v>1170</v>
      </c>
    </row>
    <row r="1170" spans="1:5" x14ac:dyDescent="0.25">
      <c r="A1170" s="6" t="s">
        <v>1171</v>
      </c>
      <c r="B1170" s="5">
        <f t="shared" si="55"/>
        <v>4304309.4987528222</v>
      </c>
      <c r="C1170" s="5">
        <f t="shared" si="56"/>
        <v>86086.189975056448</v>
      </c>
      <c r="D1170" s="5">
        <f t="shared" si="54"/>
        <v>25825.856992516932</v>
      </c>
      <c r="E1170" s="5" t="s">
        <v>1171</v>
      </c>
    </row>
    <row r="1171" spans="1:5" x14ac:dyDescent="0.25">
      <c r="A1171" s="6" t="s">
        <v>1172</v>
      </c>
      <c r="B1171" s="5">
        <f t="shared" si="55"/>
        <v>4330135.3557453388</v>
      </c>
      <c r="C1171" s="5">
        <f t="shared" si="56"/>
        <v>86602.707114906778</v>
      </c>
      <c r="D1171" s="5">
        <f t="shared" si="54"/>
        <v>25980.812134472031</v>
      </c>
      <c r="E1171" s="5" t="s">
        <v>1172</v>
      </c>
    </row>
    <row r="1172" spans="1:5" x14ac:dyDescent="0.25">
      <c r="A1172" s="6" t="s">
        <v>1173</v>
      </c>
      <c r="B1172" s="5">
        <f t="shared" si="55"/>
        <v>4356116.1678798106</v>
      </c>
      <c r="C1172" s="5">
        <f t="shared" si="56"/>
        <v>87122.323357596208</v>
      </c>
      <c r="D1172" s="5">
        <f t="shared" si="54"/>
        <v>26136.697007278861</v>
      </c>
      <c r="E1172" s="5" t="s">
        <v>1173</v>
      </c>
    </row>
    <row r="1173" spans="1:5" x14ac:dyDescent="0.25">
      <c r="A1173" s="6" t="s">
        <v>1174</v>
      </c>
      <c r="B1173" s="5">
        <f t="shared" si="55"/>
        <v>4382252.8648870895</v>
      </c>
      <c r="C1173" s="5">
        <f t="shared" si="56"/>
        <v>87645.057297741791</v>
      </c>
      <c r="D1173" s="5">
        <f t="shared" si="54"/>
        <v>26293.517189322538</v>
      </c>
      <c r="E1173" s="5" t="s">
        <v>1174</v>
      </c>
    </row>
    <row r="1174" spans="1:5" x14ac:dyDescent="0.25">
      <c r="A1174" s="6" t="s">
        <v>1175</v>
      </c>
      <c r="B1174" s="5">
        <f t="shared" si="55"/>
        <v>4408546.3820764124</v>
      </c>
      <c r="C1174" s="5">
        <f t="shared" si="56"/>
        <v>88170.927641528251</v>
      </c>
      <c r="D1174" s="5">
        <f t="shared" si="54"/>
        <v>26451.278292458475</v>
      </c>
      <c r="E1174" s="5" t="s">
        <v>1175</v>
      </c>
    </row>
    <row r="1175" spans="1:5" x14ac:dyDescent="0.25">
      <c r="A1175" s="6" t="s">
        <v>1176</v>
      </c>
      <c r="B1175" s="5">
        <f t="shared" si="55"/>
        <v>4434997.6603688709</v>
      </c>
      <c r="C1175" s="5">
        <f t="shared" si="56"/>
        <v>88699.953207377417</v>
      </c>
      <c r="D1175" s="5">
        <f t="shared" si="54"/>
        <v>26609.985962213224</v>
      </c>
      <c r="E1175" s="5" t="s">
        <v>1176</v>
      </c>
    </row>
    <row r="1176" spans="1:5" x14ac:dyDescent="0.25">
      <c r="A1176" s="6" t="s">
        <v>1177</v>
      </c>
      <c r="B1176" s="5">
        <f t="shared" si="55"/>
        <v>4461607.646331084</v>
      </c>
      <c r="C1176" s="5">
        <f t="shared" si="56"/>
        <v>89232.152926621682</v>
      </c>
      <c r="D1176" s="5">
        <f t="shared" si="54"/>
        <v>26769.645877986502</v>
      </c>
      <c r="E1176" s="5" t="s">
        <v>1177</v>
      </c>
    </row>
    <row r="1177" spans="1:5" x14ac:dyDescent="0.25">
      <c r="A1177" s="6" t="s">
        <v>1178</v>
      </c>
      <c r="B1177" s="5">
        <f t="shared" si="55"/>
        <v>4488377.2922090702</v>
      </c>
      <c r="C1177" s="5">
        <f t="shared" si="56"/>
        <v>89767.545844181412</v>
      </c>
      <c r="D1177" s="5">
        <f t="shared" si="54"/>
        <v>26930.263753254421</v>
      </c>
      <c r="E1177" s="5" t="s">
        <v>1178</v>
      </c>
    </row>
    <row r="1178" spans="1:5" x14ac:dyDescent="0.25">
      <c r="A1178" s="6" t="s">
        <v>1179</v>
      </c>
      <c r="B1178" s="5">
        <f t="shared" si="55"/>
        <v>4515307.5559623241</v>
      </c>
      <c r="C1178" s="5">
        <f t="shared" si="56"/>
        <v>90306.151119246482</v>
      </c>
      <c r="D1178" s="5">
        <f t="shared" si="54"/>
        <v>27091.845335773945</v>
      </c>
      <c r="E1178" s="5" t="s">
        <v>1179</v>
      </c>
    </row>
    <row r="1179" spans="1:5" x14ac:dyDescent="0.25">
      <c r="A1179" s="6" t="s">
        <v>1180</v>
      </c>
      <c r="B1179" s="5">
        <f t="shared" si="55"/>
        <v>4542399.4012980983</v>
      </c>
      <c r="C1179" s="5">
        <f t="shared" si="56"/>
        <v>90847.988025961968</v>
      </c>
      <c r="D1179" s="5">
        <f t="shared" si="54"/>
        <v>27254.39640778859</v>
      </c>
      <c r="E1179" s="5" t="s">
        <v>1180</v>
      </c>
    </row>
    <row r="1180" spans="1:5" x14ac:dyDescent="0.25">
      <c r="A1180" s="6" t="s">
        <v>1181</v>
      </c>
      <c r="B1180" s="5">
        <f t="shared" si="55"/>
        <v>4569653.7977058869</v>
      </c>
      <c r="C1180" s="5">
        <f t="shared" si="56"/>
        <v>91393.075954117739</v>
      </c>
      <c r="D1180" s="5">
        <f t="shared" si="54"/>
        <v>27417.922786235322</v>
      </c>
      <c r="E1180" s="5" t="s">
        <v>1181</v>
      </c>
    </row>
    <row r="1181" spans="1:5" x14ac:dyDescent="0.25">
      <c r="A1181" s="6" t="s">
        <v>1182</v>
      </c>
      <c r="B1181" s="5">
        <f t="shared" si="55"/>
        <v>4597071.7204921218</v>
      </c>
      <c r="C1181" s="5">
        <f t="shared" si="56"/>
        <v>91941.434409842434</v>
      </c>
      <c r="D1181" s="5">
        <f t="shared" si="54"/>
        <v>27582.430322952729</v>
      </c>
      <c r="E1181" s="5" t="s">
        <v>1182</v>
      </c>
    </row>
    <row r="1182" spans="1:5" x14ac:dyDescent="0.25">
      <c r="A1182" s="6" t="s">
        <v>1183</v>
      </c>
      <c r="B1182" s="5">
        <f t="shared" si="55"/>
        <v>4624654.1508150743</v>
      </c>
      <c r="C1182" s="5">
        <f t="shared" si="56"/>
        <v>92493.083016301491</v>
      </c>
      <c r="D1182" s="5">
        <f t="shared" si="54"/>
        <v>27747.924904890446</v>
      </c>
      <c r="E1182" s="5" t="s">
        <v>1183</v>
      </c>
    </row>
    <row r="1183" spans="1:5" x14ac:dyDescent="0.25">
      <c r="A1183" s="6" t="s">
        <v>1184</v>
      </c>
      <c r="B1183" s="5">
        <f t="shared" si="55"/>
        <v>4652402.0757199647</v>
      </c>
      <c r="C1183" s="5">
        <f t="shared" si="56"/>
        <v>93048.041514399301</v>
      </c>
      <c r="D1183" s="5">
        <f t="shared" si="54"/>
        <v>27914.41245431979</v>
      </c>
      <c r="E1183" s="5" t="s">
        <v>1184</v>
      </c>
    </row>
    <row r="1184" spans="1:5" x14ac:dyDescent="0.25">
      <c r="A1184" s="6" t="s">
        <v>1185</v>
      </c>
      <c r="B1184" s="5">
        <f t="shared" si="55"/>
        <v>4680316.4881742848</v>
      </c>
      <c r="C1184" s="5">
        <f t="shared" si="56"/>
        <v>93606.329763485701</v>
      </c>
      <c r="D1184" s="5">
        <f t="shared" si="54"/>
        <v>28081.89892904571</v>
      </c>
      <c r="E1184" s="5" t="s">
        <v>1185</v>
      </c>
    </row>
    <row r="1185" spans="1:5" x14ac:dyDescent="0.25">
      <c r="A1185" s="6" t="s">
        <v>1186</v>
      </c>
      <c r="B1185" s="5">
        <f t="shared" si="55"/>
        <v>4708398.3871033303</v>
      </c>
      <c r="C1185" s="5">
        <f t="shared" si="56"/>
        <v>94167.967742066612</v>
      </c>
      <c r="D1185" s="5">
        <f t="shared" si="54"/>
        <v>28250.390322619984</v>
      </c>
      <c r="E1185" s="5" t="s">
        <v>1186</v>
      </c>
    </row>
    <row r="1186" spans="1:5" x14ac:dyDescent="0.25">
      <c r="A1186" s="6" t="s">
        <v>1187</v>
      </c>
      <c r="B1186" s="5">
        <f t="shared" si="55"/>
        <v>4736648.7774259504</v>
      </c>
      <c r="C1186" s="5">
        <f t="shared" si="56"/>
        <v>94732.975548519011</v>
      </c>
      <c r="D1186" s="5">
        <f t="shared" si="54"/>
        <v>28419.892664555704</v>
      </c>
      <c r="E1186" s="5" t="s">
        <v>1187</v>
      </c>
    </row>
    <row r="1187" spans="1:5" x14ac:dyDescent="0.25">
      <c r="A1187" s="6" t="s">
        <v>1188</v>
      </c>
      <c r="B1187" s="5">
        <f t="shared" si="55"/>
        <v>4765068.6700905059</v>
      </c>
      <c r="C1187" s="5">
        <f t="shared" si="56"/>
        <v>95301.373401810124</v>
      </c>
      <c r="D1187" s="5">
        <f t="shared" si="54"/>
        <v>28590.412020543037</v>
      </c>
      <c r="E1187" s="5" t="s">
        <v>1188</v>
      </c>
    </row>
    <row r="1188" spans="1:5" x14ac:dyDescent="0.25">
      <c r="A1188" s="6" t="s">
        <v>1189</v>
      </c>
      <c r="B1188" s="5">
        <f t="shared" si="55"/>
        <v>4793659.0821110485</v>
      </c>
      <c r="C1188" s="5">
        <f t="shared" si="56"/>
        <v>95873.181642220967</v>
      </c>
      <c r="D1188" s="5">
        <f t="shared" si="54"/>
        <v>28761.954492666289</v>
      </c>
      <c r="E1188" s="5" t="s">
        <v>1189</v>
      </c>
    </row>
    <row r="1189" spans="1:5" x14ac:dyDescent="0.25">
      <c r="A1189" s="6" t="s">
        <v>1190</v>
      </c>
      <c r="B1189" s="5">
        <f t="shared" si="55"/>
        <v>4822421.0366037143</v>
      </c>
      <c r="C1189" s="5">
        <f t="shared" si="56"/>
        <v>96448.420732074286</v>
      </c>
      <c r="D1189" s="5">
        <f t="shared" si="54"/>
        <v>28934.526219622287</v>
      </c>
      <c r="E1189" s="5" t="s">
        <v>1190</v>
      </c>
    </row>
    <row r="1190" spans="1:5" x14ac:dyDescent="0.25">
      <c r="A1190" s="6" t="s">
        <v>1191</v>
      </c>
      <c r="B1190" s="5">
        <f t="shared" si="55"/>
        <v>4851355.5628233366</v>
      </c>
      <c r="C1190" s="5">
        <f t="shared" si="56"/>
        <v>97027.111256466727</v>
      </c>
      <c r="D1190" s="5">
        <f t="shared" si="54"/>
        <v>29108.133376940019</v>
      </c>
      <c r="E1190" s="5" t="s">
        <v>1191</v>
      </c>
    </row>
    <row r="1191" spans="1:5" x14ac:dyDescent="0.25">
      <c r="A1191" s="6" t="s">
        <v>1192</v>
      </c>
      <c r="B1191" s="5">
        <f t="shared" si="55"/>
        <v>4880463.6962002767</v>
      </c>
      <c r="C1191" s="5">
        <f t="shared" si="56"/>
        <v>97609.273924005538</v>
      </c>
      <c r="D1191" s="5">
        <f t="shared" si="54"/>
        <v>29282.782177201661</v>
      </c>
      <c r="E1191" s="5" t="s">
        <v>1192</v>
      </c>
    </row>
    <row r="1192" spans="1:5" x14ac:dyDescent="0.25">
      <c r="A1192" s="6" t="s">
        <v>1193</v>
      </c>
      <c r="B1192" s="5">
        <f t="shared" si="55"/>
        <v>4909746.4783774782</v>
      </c>
      <c r="C1192" s="5">
        <f t="shared" si="56"/>
        <v>98194.929567549567</v>
      </c>
      <c r="D1192" s="5">
        <f t="shared" si="54"/>
        <v>29458.478870264869</v>
      </c>
      <c r="E1192" s="5" t="s">
        <v>1193</v>
      </c>
    </row>
    <row r="1193" spans="1:5" x14ac:dyDescent="0.25">
      <c r="A1193" s="6" t="s">
        <v>1194</v>
      </c>
      <c r="B1193" s="5">
        <f t="shared" si="55"/>
        <v>4939204.9572477434</v>
      </c>
      <c r="C1193" s="5">
        <f t="shared" si="56"/>
        <v>98784.099144954875</v>
      </c>
      <c r="D1193" s="5">
        <f t="shared" si="54"/>
        <v>29635.229743486459</v>
      </c>
      <c r="E1193" s="5" t="s">
        <v>1194</v>
      </c>
    </row>
    <row r="1194" spans="1:5" x14ac:dyDescent="0.25">
      <c r="A1194" s="6" t="s">
        <v>1195</v>
      </c>
      <c r="B1194" s="5">
        <f t="shared" si="55"/>
        <v>4968840.1869912297</v>
      </c>
      <c r="C1194" s="5">
        <f t="shared" si="56"/>
        <v>99376.803739824594</v>
      </c>
      <c r="D1194" s="5">
        <f t="shared" si="54"/>
        <v>29813.041121947375</v>
      </c>
      <c r="E1194" s="5" t="s">
        <v>1195</v>
      </c>
    </row>
    <row r="1195" spans="1:5" x14ac:dyDescent="0.25">
      <c r="A1195" s="6" t="s">
        <v>1196</v>
      </c>
      <c r="B1195" s="5">
        <f t="shared" si="55"/>
        <v>4998653.2281131772</v>
      </c>
      <c r="C1195" s="5">
        <f t="shared" si="56"/>
        <v>99973.064562263549</v>
      </c>
      <c r="D1195" s="5">
        <f t="shared" si="54"/>
        <v>29991.919368679064</v>
      </c>
      <c r="E1195" s="5" t="s">
        <v>1196</v>
      </c>
    </row>
    <row r="1196" spans="1:5" x14ac:dyDescent="0.25">
      <c r="A1196" s="6" t="s">
        <v>1197</v>
      </c>
      <c r="B1196" s="5">
        <f t="shared" si="55"/>
        <v>5028645.1474818559</v>
      </c>
      <c r="C1196" s="5">
        <f t="shared" si="56"/>
        <v>100572.90294963712</v>
      </c>
      <c r="D1196" s="5">
        <f t="shared" si="54"/>
        <v>30171.870884891134</v>
      </c>
      <c r="E1196" s="5" t="s">
        <v>1197</v>
      </c>
    </row>
    <row r="1197" spans="1:5" x14ac:dyDescent="0.25">
      <c r="A1197" s="6" t="s">
        <v>1198</v>
      </c>
      <c r="B1197" s="5">
        <f t="shared" si="55"/>
        <v>5058817.0183667466</v>
      </c>
      <c r="C1197" s="5">
        <f t="shared" si="56"/>
        <v>101176.34036733494</v>
      </c>
      <c r="D1197" s="5">
        <f t="shared" si="54"/>
        <v>30352.902110200481</v>
      </c>
      <c r="E1197" s="5" t="s">
        <v>1198</v>
      </c>
    </row>
    <row r="1198" spans="1:5" x14ac:dyDescent="0.25">
      <c r="A1198" s="6" t="s">
        <v>1199</v>
      </c>
      <c r="B1198" s="5">
        <f t="shared" si="55"/>
        <v>5089169.920476947</v>
      </c>
      <c r="C1198" s="5">
        <f t="shared" si="56"/>
        <v>101783.39840953895</v>
      </c>
      <c r="D1198" s="5">
        <f t="shared" si="54"/>
        <v>30535.019522861683</v>
      </c>
      <c r="E1198" s="5" t="s">
        <v>1199</v>
      </c>
    </row>
    <row r="1199" spans="1:5" x14ac:dyDescent="0.25">
      <c r="A1199" s="6" t="s">
        <v>1200</v>
      </c>
      <c r="B1199" s="5">
        <f t="shared" si="55"/>
        <v>5119704.9399998086</v>
      </c>
      <c r="C1199" s="5">
        <f t="shared" si="56"/>
        <v>102394.09879999618</v>
      </c>
      <c r="D1199" s="5">
        <f t="shared" si="54"/>
        <v>30718.229639998852</v>
      </c>
      <c r="E1199" s="5" t="s">
        <v>1200</v>
      </c>
    </row>
    <row r="1200" spans="1:5" x14ac:dyDescent="0.25">
      <c r="A1200" s="6" t="s">
        <v>1201</v>
      </c>
      <c r="B1200" s="5">
        <f t="shared" si="55"/>
        <v>5150423.1696398072</v>
      </c>
      <c r="C1200" s="5">
        <f t="shared" si="56"/>
        <v>103008.46339279614</v>
      </c>
      <c r="D1200" s="5">
        <f t="shared" si="54"/>
        <v>30902.539017838841</v>
      </c>
      <c r="E1200" s="5" t="s">
        <v>1201</v>
      </c>
    </row>
    <row r="1201" spans="1:5" x14ac:dyDescent="0.25">
      <c r="A1201" s="6" t="s">
        <v>1202</v>
      </c>
      <c r="B1201" s="5">
        <f t="shared" si="55"/>
        <v>5181325.7086576456</v>
      </c>
      <c r="C1201" s="5">
        <f t="shared" si="56"/>
        <v>103626.51417315291</v>
      </c>
      <c r="D1201" s="5">
        <f t="shared" si="54"/>
        <v>31087.954251945874</v>
      </c>
      <c r="E1201" s="5" t="s">
        <v>1202</v>
      </c>
    </row>
    <row r="1202" spans="1:5" x14ac:dyDescent="0.25">
      <c r="A1202" s="6" t="s">
        <v>1203</v>
      </c>
      <c r="B1202" s="5">
        <f t="shared" si="55"/>
        <v>5212413.6629095916</v>
      </c>
      <c r="C1202" s="5">
        <f t="shared" si="56"/>
        <v>104248.27325819184</v>
      </c>
      <c r="D1202" s="5">
        <f t="shared" si="54"/>
        <v>31274.481977457552</v>
      </c>
      <c r="E1202" s="5" t="s">
        <v>1203</v>
      </c>
    </row>
    <row r="1203" spans="1:5" x14ac:dyDescent="0.25">
      <c r="A1203" s="6" t="s">
        <v>1204</v>
      </c>
      <c r="B1203" s="5">
        <f t="shared" si="55"/>
        <v>5243688.1448870488</v>
      </c>
      <c r="C1203" s="5">
        <f t="shared" si="56"/>
        <v>104873.76289774098</v>
      </c>
      <c r="D1203" s="5">
        <f t="shared" si="54"/>
        <v>31462.128869322292</v>
      </c>
      <c r="E1203" s="5" t="s">
        <v>1204</v>
      </c>
    </row>
    <row r="1204" spans="1:5" x14ac:dyDescent="0.25">
      <c r="A1204" s="6" t="s">
        <v>1205</v>
      </c>
      <c r="B1204" s="5">
        <f t="shared" si="55"/>
        <v>5275150.2737563709</v>
      </c>
      <c r="C1204" s="5">
        <f t="shared" si="56"/>
        <v>105503.00547512741</v>
      </c>
      <c r="D1204" s="5">
        <f t="shared" si="54"/>
        <v>31650.901642538221</v>
      </c>
      <c r="E1204" s="5" t="s">
        <v>1205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1:H10"/>
  <sheetViews>
    <sheetView tabSelected="1" zoomScale="178" zoomScaleNormal="178" workbookViewId="0">
      <selection activeCell="C3" sqref="C3"/>
    </sheetView>
  </sheetViews>
  <sheetFormatPr defaultRowHeight="15" x14ac:dyDescent="0.25"/>
  <cols>
    <col min="1" max="1" width="7.42578125" customWidth="1"/>
    <col min="2" max="2" width="16.28515625" bestFit="1" customWidth="1"/>
    <col min="3" max="4" width="14.28515625" bestFit="1" customWidth="1"/>
    <col min="5" max="5" width="13.28515625" bestFit="1" customWidth="1"/>
    <col min="6" max="6" width="14.28515625" bestFit="1" customWidth="1"/>
    <col min="7" max="7" width="13.28515625" bestFit="1" customWidth="1"/>
    <col min="8" max="8" width="14.28515625" bestFit="1" customWidth="1"/>
  </cols>
  <sheetData>
    <row r="1" spans="1:8" x14ac:dyDescent="0.25">
      <c r="A1" t="s">
        <v>679</v>
      </c>
      <c r="B1" s="25" t="s">
        <v>1244</v>
      </c>
      <c r="C1" s="34" t="s">
        <v>1245</v>
      </c>
      <c r="D1" s="34"/>
      <c r="E1" s="34"/>
      <c r="F1" s="34"/>
      <c r="G1" s="34"/>
      <c r="H1" s="26" t="s">
        <v>1246</v>
      </c>
    </row>
    <row r="2" spans="1:8" x14ac:dyDescent="0.25">
      <c r="A2" s="27">
        <f>principal!H6</f>
        <v>7.4999999999999997E-2</v>
      </c>
      <c r="B2" s="25">
        <v>3000</v>
      </c>
      <c r="C2" s="23">
        <v>1000</v>
      </c>
      <c r="D2" s="23"/>
      <c r="E2" s="23"/>
      <c r="F2" s="22"/>
      <c r="G2" s="11"/>
      <c r="H2" s="11">
        <f>SUM(B2:G2)</f>
        <v>4000</v>
      </c>
    </row>
    <row r="3" spans="1:8" x14ac:dyDescent="0.25">
      <c r="A3" s="24" t="s">
        <v>1248</v>
      </c>
    </row>
    <row r="4" spans="1:8" x14ac:dyDescent="0.25">
      <c r="A4" s="29">
        <f>principal!H7</f>
        <v>2.3817795990265949</v>
      </c>
      <c r="B4" s="35" t="s">
        <v>1247</v>
      </c>
      <c r="C4" s="35"/>
      <c r="D4" s="35"/>
      <c r="E4" s="35"/>
      <c r="F4" s="35"/>
      <c r="G4" s="35"/>
    </row>
    <row r="5" spans="1:8" x14ac:dyDescent="0.25">
      <c r="B5" s="23">
        <f>($H$2+A2*H2)-H5</f>
        <v>3270</v>
      </c>
      <c r="C5" s="23">
        <f>C2+(C2*$A$2)*0.4</f>
        <v>1030</v>
      </c>
      <c r="D5" s="23">
        <f>D2+(D2*$A$2)*0.4</f>
        <v>0</v>
      </c>
      <c r="E5" s="23">
        <f t="shared" ref="D5:G5" si="0">E2+(E2*$A$2)*0.4</f>
        <v>0</v>
      </c>
      <c r="F5" s="23">
        <f t="shared" si="0"/>
        <v>0</v>
      </c>
      <c r="G5" s="23">
        <f t="shared" si="0"/>
        <v>0</v>
      </c>
      <c r="H5" s="11">
        <f>SUM(C5:G5)</f>
        <v>1030</v>
      </c>
    </row>
    <row r="6" spans="1:8" x14ac:dyDescent="0.25">
      <c r="A6" s="30"/>
      <c r="B6" s="33">
        <f>B5/B2-1</f>
        <v>9.000000000000008E-2</v>
      </c>
      <c r="C6" s="28">
        <f>C5/C2-1</f>
        <v>3.0000000000000027E-2</v>
      </c>
      <c r="D6" s="28" t="e">
        <f>D5/D2-1</f>
        <v>#DIV/0!</v>
      </c>
      <c r="E6" s="28" t="e">
        <f>E5/E2-1</f>
        <v>#DIV/0!</v>
      </c>
      <c r="F6" s="28" t="e">
        <f>F5/F2-1</f>
        <v>#DIV/0!</v>
      </c>
      <c r="G6" s="28" t="e">
        <f t="shared" ref="G6" si="1">G5/G2-1</f>
        <v>#DIV/0!</v>
      </c>
    </row>
    <row r="7" spans="1:8" x14ac:dyDescent="0.25">
      <c r="A7" s="32"/>
      <c r="B7" s="32"/>
      <c r="C7" s="31"/>
      <c r="D7" s="31"/>
      <c r="E7" s="31"/>
      <c r="F7" s="31"/>
      <c r="G7" s="31"/>
    </row>
    <row r="8" spans="1:8" x14ac:dyDescent="0.25">
      <c r="A8" s="31"/>
      <c r="B8" s="36" t="s">
        <v>1249</v>
      </c>
      <c r="C8" s="36"/>
      <c r="D8" s="36"/>
      <c r="E8" s="36"/>
      <c r="F8" s="36"/>
      <c r="G8" s="36"/>
    </row>
    <row r="9" spans="1:8" x14ac:dyDescent="0.25">
      <c r="A9" s="31"/>
      <c r="B9" s="23">
        <f>($H$2+A4*$H$2)-H9</f>
        <v>11574.406556495742</v>
      </c>
      <c r="C9" s="23">
        <f>C2+(C2*$A$4)*0.4</f>
        <v>1952.711839610638</v>
      </c>
      <c r="D9" s="23">
        <f t="shared" ref="D9:G9" si="2">D2+(D2*$A$4)*0.4</f>
        <v>0</v>
      </c>
      <c r="E9" s="23">
        <f t="shared" si="2"/>
        <v>0</v>
      </c>
      <c r="F9" s="23">
        <f t="shared" si="2"/>
        <v>0</v>
      </c>
      <c r="G9" s="23">
        <f t="shared" si="2"/>
        <v>0</v>
      </c>
      <c r="H9" s="11">
        <f>SUM(C9:G9)</f>
        <v>1952.711839610638</v>
      </c>
    </row>
    <row r="10" spans="1:8" x14ac:dyDescent="0.25">
      <c r="A10" s="30"/>
      <c r="B10" s="33">
        <f>B9/B2-1</f>
        <v>2.8581355188319137</v>
      </c>
      <c r="C10" s="28">
        <f>C9/C2-1</f>
        <v>0.95271183961063799</v>
      </c>
      <c r="D10" s="28" t="e">
        <f t="shared" ref="D10:G10" si="3">D9/D2-1</f>
        <v>#DIV/0!</v>
      </c>
      <c r="E10" s="28" t="e">
        <f t="shared" si="3"/>
        <v>#DIV/0!</v>
      </c>
      <c r="F10" s="28" t="e">
        <f t="shared" si="3"/>
        <v>#DIV/0!</v>
      </c>
      <c r="G10" s="28" t="e">
        <f t="shared" si="3"/>
        <v>#DIV/0!</v>
      </c>
    </row>
  </sheetData>
  <mergeCells count="3">
    <mergeCell ref="C1:G1"/>
    <mergeCell ref="B4:G4"/>
    <mergeCell ref="B8:G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imulacao">
                <anchor moveWithCells="1" sizeWithCells="1">
                  <from>
                    <xdr:col>6</xdr:col>
                    <xdr:colOff>142875</xdr:colOff>
                    <xdr:row>10</xdr:row>
                    <xdr:rowOff>9525</xdr:rowOff>
                  </from>
                  <to>
                    <xdr:col>6</xdr:col>
                    <xdr:colOff>752475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O13"/>
  <sheetViews>
    <sheetView topLeftCell="C1" zoomScale="130" zoomScaleNormal="130" workbookViewId="0">
      <selection activeCell="A13" sqref="A13"/>
    </sheetView>
  </sheetViews>
  <sheetFormatPr defaultRowHeight="15" x14ac:dyDescent="0.25"/>
  <cols>
    <col min="2" max="2" width="12.7109375" bestFit="1" customWidth="1"/>
    <col min="5" max="5" width="13.7109375" bestFit="1" customWidth="1"/>
    <col min="8" max="8" width="15" bestFit="1" customWidth="1"/>
    <col min="9" max="9" width="10.28515625" bestFit="1" customWidth="1"/>
    <col min="11" max="11" width="17.7109375" bestFit="1" customWidth="1"/>
    <col min="14" max="14" width="17.7109375" bestFit="1" customWidth="1"/>
  </cols>
  <sheetData>
    <row r="1" spans="1:15" x14ac:dyDescent="0.25">
      <c r="A1" t="s">
        <v>1230</v>
      </c>
      <c r="B1" s="11">
        <f>principal!A2</f>
        <v>4000</v>
      </c>
      <c r="D1" s="37" t="s">
        <v>1212</v>
      </c>
      <c r="E1" s="37"/>
      <c r="F1" s="37"/>
      <c r="G1" s="37" t="s">
        <v>1226</v>
      </c>
      <c r="H1" s="37"/>
      <c r="I1" s="37"/>
      <c r="J1" s="37" t="s">
        <v>1227</v>
      </c>
      <c r="K1" s="37"/>
      <c r="L1" s="37"/>
      <c r="M1" s="37" t="s">
        <v>1228</v>
      </c>
      <c r="N1" s="37"/>
      <c r="O1" s="37"/>
    </row>
    <row r="2" spans="1:15" x14ac:dyDescent="0.25">
      <c r="A2" t="s">
        <v>1231</v>
      </c>
      <c r="B2" s="21" t="e">
        <f>principal!#REF!</f>
        <v>#REF!</v>
      </c>
      <c r="D2" t="s">
        <v>1232</v>
      </c>
      <c r="E2" s="11" t="e">
        <f>B1+B1*$B$2</f>
        <v>#REF!</v>
      </c>
      <c r="G2" t="s">
        <v>1232</v>
      </c>
      <c r="H2" s="11" t="e">
        <f>E13+$B$2*E13</f>
        <v>#REF!</v>
      </c>
      <c r="J2" t="s">
        <v>1232</v>
      </c>
      <c r="K2" s="11" t="e">
        <f>H13+$B$2*H13</f>
        <v>#REF!</v>
      </c>
      <c r="M2" t="s">
        <v>1232</v>
      </c>
      <c r="N2" s="11" t="e">
        <f>K13+$B$2*K13</f>
        <v>#REF!</v>
      </c>
    </row>
    <row r="3" spans="1:15" x14ac:dyDescent="0.25">
      <c r="D3" t="s">
        <v>1233</v>
      </c>
      <c r="E3" s="11" t="e">
        <f>E2+E2*$B$2</f>
        <v>#REF!</v>
      </c>
      <c r="G3" t="s">
        <v>1233</v>
      </c>
      <c r="H3" s="11" t="e">
        <f>H2+H2*$B$2</f>
        <v>#REF!</v>
      </c>
      <c r="J3" t="s">
        <v>1233</v>
      </c>
      <c r="K3" s="11" t="e">
        <f>K2+K2*$B$2</f>
        <v>#REF!</v>
      </c>
      <c r="M3" t="s">
        <v>1233</v>
      </c>
      <c r="N3" s="11" t="e">
        <f>N2+N2*$B$2</f>
        <v>#REF!</v>
      </c>
    </row>
    <row r="4" spans="1:15" x14ac:dyDescent="0.25">
      <c r="D4" t="s">
        <v>1234</v>
      </c>
      <c r="E4" s="11" t="e">
        <f>E3+$B$2*E3</f>
        <v>#REF!</v>
      </c>
      <c r="G4" t="s">
        <v>1234</v>
      </c>
      <c r="H4" s="11" t="e">
        <f>H3+$B$2*H3</f>
        <v>#REF!</v>
      </c>
      <c r="J4" t="s">
        <v>1234</v>
      </c>
      <c r="K4" s="11" t="e">
        <f>K3+$B$2*K3</f>
        <v>#REF!</v>
      </c>
      <c r="M4" t="s">
        <v>1234</v>
      </c>
      <c r="N4" s="11" t="e">
        <f>N3+$B$2*N3</f>
        <v>#REF!</v>
      </c>
    </row>
    <row r="5" spans="1:15" x14ac:dyDescent="0.25">
      <c r="D5" t="s">
        <v>1235</v>
      </c>
      <c r="E5" s="11" t="e">
        <f t="shared" ref="E5:E13" si="0">E4+$B$2*E4</f>
        <v>#REF!</v>
      </c>
      <c r="G5" t="s">
        <v>1235</v>
      </c>
      <c r="H5" s="11" t="e">
        <f>H4+$B$2*H4</f>
        <v>#REF!</v>
      </c>
      <c r="J5" t="s">
        <v>1235</v>
      </c>
      <c r="K5" s="11" t="e">
        <f>K4+$B$2*K4</f>
        <v>#REF!</v>
      </c>
      <c r="M5" t="s">
        <v>1235</v>
      </c>
      <c r="N5" s="11" t="e">
        <f>N4+$B$2*N4</f>
        <v>#REF!</v>
      </c>
    </row>
    <row r="6" spans="1:15" x14ac:dyDescent="0.25">
      <c r="D6" t="s">
        <v>1236</v>
      </c>
      <c r="E6" s="11" t="e">
        <f t="shared" si="0"/>
        <v>#REF!</v>
      </c>
      <c r="G6" t="s">
        <v>1236</v>
      </c>
      <c r="H6" s="11" t="e">
        <f>H5+$B$2*H5</f>
        <v>#REF!</v>
      </c>
      <c r="J6" t="s">
        <v>1236</v>
      </c>
      <c r="K6" s="11" t="e">
        <f>K5+$B$2*K5</f>
        <v>#REF!</v>
      </c>
      <c r="M6" t="s">
        <v>1236</v>
      </c>
      <c r="N6" s="11" t="e">
        <f>N5+$B$2*N5</f>
        <v>#REF!</v>
      </c>
    </row>
    <row r="7" spans="1:15" x14ac:dyDescent="0.25">
      <c r="D7" t="s">
        <v>1237</v>
      </c>
      <c r="E7" s="11" t="e">
        <f t="shared" si="0"/>
        <v>#REF!</v>
      </c>
      <c r="G7" t="s">
        <v>1237</v>
      </c>
      <c r="H7" s="11" t="e">
        <f>H6+$B$2*H6</f>
        <v>#REF!</v>
      </c>
      <c r="J7" t="s">
        <v>1237</v>
      </c>
      <c r="K7" s="11" t="e">
        <f>K6+$B$2*K6</f>
        <v>#REF!</v>
      </c>
      <c r="M7" t="s">
        <v>1237</v>
      </c>
      <c r="N7" s="11" t="e">
        <f>N6+$B$2*N6</f>
        <v>#REF!</v>
      </c>
    </row>
    <row r="8" spans="1:15" x14ac:dyDescent="0.25">
      <c r="D8" t="s">
        <v>1238</v>
      </c>
      <c r="E8" s="11" t="e">
        <f t="shared" si="0"/>
        <v>#REF!</v>
      </c>
      <c r="G8" t="s">
        <v>1238</v>
      </c>
      <c r="H8" s="11" t="e">
        <f t="shared" ref="H8:H13" si="1">H7+$B$2*H7</f>
        <v>#REF!</v>
      </c>
      <c r="J8" t="s">
        <v>1238</v>
      </c>
      <c r="K8" s="11" t="e">
        <f>K7+$B$2*K7</f>
        <v>#REF!</v>
      </c>
      <c r="M8" t="s">
        <v>1238</v>
      </c>
      <c r="N8" s="11" t="e">
        <f>N7+$B$2*N7</f>
        <v>#REF!</v>
      </c>
    </row>
    <row r="9" spans="1:15" x14ac:dyDescent="0.25">
      <c r="D9" t="s">
        <v>1239</v>
      </c>
      <c r="E9" s="11" t="e">
        <f t="shared" si="0"/>
        <v>#REF!</v>
      </c>
      <c r="G9" t="s">
        <v>1239</v>
      </c>
      <c r="H9" s="11" t="e">
        <f t="shared" si="1"/>
        <v>#REF!</v>
      </c>
      <c r="J9" t="s">
        <v>1239</v>
      </c>
      <c r="K9" s="11" t="e">
        <f t="shared" ref="K9:K13" si="2">K8+$B$2*K8</f>
        <v>#REF!</v>
      </c>
      <c r="M9" t="s">
        <v>1239</v>
      </c>
      <c r="N9" s="11" t="e">
        <f t="shared" ref="N9:N13" si="3">N8+$B$2*N8</f>
        <v>#REF!</v>
      </c>
    </row>
    <row r="10" spans="1:15" x14ac:dyDescent="0.25">
      <c r="D10" t="s">
        <v>1240</v>
      </c>
      <c r="E10" s="11" t="e">
        <f t="shared" si="0"/>
        <v>#REF!</v>
      </c>
      <c r="G10" t="s">
        <v>1240</v>
      </c>
      <c r="H10" s="11" t="e">
        <f t="shared" si="1"/>
        <v>#REF!</v>
      </c>
      <c r="J10" t="s">
        <v>1240</v>
      </c>
      <c r="K10" s="11" t="e">
        <f t="shared" si="2"/>
        <v>#REF!</v>
      </c>
      <c r="M10" t="s">
        <v>1240</v>
      </c>
      <c r="N10" s="11" t="e">
        <f t="shared" si="3"/>
        <v>#REF!</v>
      </c>
    </row>
    <row r="11" spans="1:15" x14ac:dyDescent="0.25">
      <c r="D11" t="s">
        <v>1241</v>
      </c>
      <c r="E11" s="11" t="e">
        <f t="shared" si="0"/>
        <v>#REF!</v>
      </c>
      <c r="G11" t="s">
        <v>1241</v>
      </c>
      <c r="H11" s="11" t="e">
        <f t="shared" si="1"/>
        <v>#REF!</v>
      </c>
      <c r="J11" t="s">
        <v>1241</v>
      </c>
      <c r="K11" s="11" t="e">
        <f t="shared" si="2"/>
        <v>#REF!</v>
      </c>
      <c r="M11" t="s">
        <v>1241</v>
      </c>
      <c r="N11" s="11" t="e">
        <f t="shared" si="3"/>
        <v>#REF!</v>
      </c>
    </row>
    <row r="12" spans="1:15" x14ac:dyDescent="0.25">
      <c r="D12" t="s">
        <v>1242</v>
      </c>
      <c r="E12" s="11" t="e">
        <f t="shared" si="0"/>
        <v>#REF!</v>
      </c>
      <c r="G12" t="s">
        <v>1242</v>
      </c>
      <c r="H12" s="11" t="e">
        <f t="shared" si="1"/>
        <v>#REF!</v>
      </c>
      <c r="J12" t="s">
        <v>1242</v>
      </c>
      <c r="K12" s="11" t="e">
        <f t="shared" si="2"/>
        <v>#REF!</v>
      </c>
      <c r="M12" t="s">
        <v>1242</v>
      </c>
      <c r="N12" s="11" t="e">
        <f t="shared" si="3"/>
        <v>#REF!</v>
      </c>
    </row>
    <row r="13" spans="1:15" x14ac:dyDescent="0.25">
      <c r="D13" t="s">
        <v>1243</v>
      </c>
      <c r="E13" s="11" t="e">
        <f t="shared" si="0"/>
        <v>#REF!</v>
      </c>
      <c r="F13" s="20" t="e">
        <f>E13/$B$1-1</f>
        <v>#REF!</v>
      </c>
      <c r="G13" t="s">
        <v>1243</v>
      </c>
      <c r="H13" s="11" t="e">
        <f t="shared" si="1"/>
        <v>#REF!</v>
      </c>
      <c r="I13" s="20" t="e">
        <f>H13/$B$1-1</f>
        <v>#REF!</v>
      </c>
      <c r="J13" t="s">
        <v>1243</v>
      </c>
      <c r="K13" s="11" t="e">
        <f t="shared" si="2"/>
        <v>#REF!</v>
      </c>
      <c r="L13" s="20" t="e">
        <f>K13/$B$1-1</f>
        <v>#REF!</v>
      </c>
      <c r="M13" t="s">
        <v>1243</v>
      </c>
      <c r="N13" s="11" t="e">
        <f t="shared" si="3"/>
        <v>#REF!</v>
      </c>
      <c r="O13" s="20" t="e">
        <f>N13/$B$1-1</f>
        <v>#REF!</v>
      </c>
    </row>
  </sheetData>
  <mergeCells count="4">
    <mergeCell ref="D1:F1"/>
    <mergeCell ref="G1:I1"/>
    <mergeCell ref="J1:L1"/>
    <mergeCell ref="M1:O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R14"/>
  <sheetViews>
    <sheetView zoomScale="130" zoomScaleNormal="130" workbookViewId="0">
      <selection activeCell="E13" sqref="E13"/>
    </sheetView>
  </sheetViews>
  <sheetFormatPr defaultRowHeight="15" x14ac:dyDescent="0.25"/>
  <cols>
    <col min="1" max="1" width="7.140625" customWidth="1"/>
    <col min="2" max="2" width="13.7109375" bestFit="1" customWidth="1"/>
    <col min="5" max="5" width="15" bestFit="1" customWidth="1"/>
    <col min="6" max="6" width="12.7109375" bestFit="1" customWidth="1"/>
    <col min="8" max="8" width="15" bestFit="1" customWidth="1"/>
    <col min="11" max="11" width="16.5703125" bestFit="1" customWidth="1"/>
    <col min="14" max="14" width="15" bestFit="1" customWidth="1"/>
    <col min="17" max="17" width="16.5703125" bestFit="1" customWidth="1"/>
  </cols>
  <sheetData>
    <row r="1" spans="1:18" x14ac:dyDescent="0.25">
      <c r="A1" t="s">
        <v>1214</v>
      </c>
      <c r="B1" s="11">
        <f>principal!A2</f>
        <v>4000</v>
      </c>
      <c r="C1" s="10"/>
      <c r="D1" s="35" t="s">
        <v>1212</v>
      </c>
      <c r="E1" s="35"/>
      <c r="G1" s="35" t="s">
        <v>1226</v>
      </c>
      <c r="H1" s="35"/>
      <c r="I1" t="s">
        <v>1250</v>
      </c>
      <c r="J1" s="35" t="s">
        <v>1227</v>
      </c>
      <c r="K1" s="35"/>
      <c r="L1" t="s">
        <v>1250</v>
      </c>
      <c r="M1" s="35" t="s">
        <v>1228</v>
      </c>
      <c r="N1" s="35"/>
      <c r="O1" t="s">
        <v>1250</v>
      </c>
      <c r="P1" s="35" t="s">
        <v>1229</v>
      </c>
      <c r="Q1" s="35"/>
      <c r="R1" t="s">
        <v>1250</v>
      </c>
    </row>
    <row r="2" spans="1:18" x14ac:dyDescent="0.25">
      <c r="A2" t="s">
        <v>1215</v>
      </c>
      <c r="B2" s="19">
        <f>principal!H6</f>
        <v>7.4999999999999997E-2</v>
      </c>
      <c r="D2" t="s">
        <v>1211</v>
      </c>
      <c r="E2" s="11">
        <f>B1+B1*$B$2</f>
        <v>4300</v>
      </c>
      <c r="F2" s="11"/>
      <c r="G2" t="s">
        <v>1211</v>
      </c>
      <c r="H2" s="11">
        <f>E13*$B$2+E13</f>
        <v>10241.652275814358</v>
      </c>
      <c r="J2" t="s">
        <v>1211</v>
      </c>
      <c r="K2" s="11">
        <f>H13*$B$2+H13</f>
        <v>24393.35845085893</v>
      </c>
      <c r="M2" t="s">
        <v>1211</v>
      </c>
      <c r="N2" s="11">
        <f>K13*$B$2+K13</f>
        <v>58099.603509998793</v>
      </c>
      <c r="P2" t="s">
        <v>1211</v>
      </c>
      <c r="Q2" s="11">
        <f>N13*$B$2+N13</f>
        <v>138380.45035164911</v>
      </c>
    </row>
    <row r="3" spans="1:18" x14ac:dyDescent="0.25">
      <c r="B3" s="11"/>
      <c r="D3" t="s">
        <v>1213</v>
      </c>
      <c r="E3" s="11">
        <f>E2+E2*$B$2</f>
        <v>4622.5</v>
      </c>
      <c r="G3" t="s">
        <v>1213</v>
      </c>
      <c r="H3" s="11">
        <f>H2*$B$2+H2</f>
        <v>11009.776196500436</v>
      </c>
      <c r="J3" t="s">
        <v>1213</v>
      </c>
      <c r="K3" s="11">
        <f>K2*$B$2+K2</f>
        <v>26222.860334673351</v>
      </c>
      <c r="M3" t="s">
        <v>1213</v>
      </c>
      <c r="N3" s="11">
        <f>N2*$B$2+N2</f>
        <v>62457.073773248703</v>
      </c>
      <c r="P3" t="s">
        <v>1213</v>
      </c>
      <c r="Q3" s="11">
        <f>Q2*$B$2+Q2</f>
        <v>148758.9841280228</v>
      </c>
    </row>
    <row r="4" spans="1:18" x14ac:dyDescent="0.25">
      <c r="D4" t="s">
        <v>1216</v>
      </c>
      <c r="E4" s="11">
        <f>E3+E3*$B$2</f>
        <v>4969.1875</v>
      </c>
      <c r="G4" t="s">
        <v>1216</v>
      </c>
      <c r="H4" s="11">
        <f>H3*$B$2+H3</f>
        <v>11835.509411237968</v>
      </c>
      <c r="J4" t="s">
        <v>1216</v>
      </c>
      <c r="K4" s="11">
        <f>K3*$B$2+K3</f>
        <v>28189.574859773853</v>
      </c>
      <c r="M4" t="s">
        <v>1216</v>
      </c>
      <c r="N4" s="11">
        <f>N3*$B$2+N3</f>
        <v>67141.354306242356</v>
      </c>
      <c r="P4" t="s">
        <v>1216</v>
      </c>
      <c r="Q4" s="11">
        <f>Q3*$B$2+Q3</f>
        <v>159915.90793762452</v>
      </c>
    </row>
    <row r="5" spans="1:18" x14ac:dyDescent="0.25">
      <c r="D5" t="s">
        <v>1217</v>
      </c>
      <c r="E5" s="11">
        <f>E4+E4*$B$2</f>
        <v>5341.8765624999996</v>
      </c>
      <c r="G5" t="s">
        <v>1217</v>
      </c>
      <c r="H5" s="11">
        <f>H4*$B$2+H4</f>
        <v>12723.172617080816</v>
      </c>
      <c r="J5" t="s">
        <v>1217</v>
      </c>
      <c r="K5" s="11">
        <f>K4*$B$2+K4</f>
        <v>30303.792974256892</v>
      </c>
      <c r="M5" t="s">
        <v>1217</v>
      </c>
      <c r="N5" s="11">
        <f>N4*$B$2+N4</f>
        <v>72176.955879210538</v>
      </c>
      <c r="P5" t="s">
        <v>1217</v>
      </c>
      <c r="Q5" s="11">
        <f>Q4*$B$2+Q4</f>
        <v>171909.60103294635</v>
      </c>
    </row>
    <row r="6" spans="1:18" x14ac:dyDescent="0.25">
      <c r="D6" t="s">
        <v>1218</v>
      </c>
      <c r="E6" s="11">
        <f t="shared" ref="E3:E12" si="0">E5+E5*$B$2</f>
        <v>5742.5173046874997</v>
      </c>
      <c r="G6" t="s">
        <v>1218</v>
      </c>
      <c r="H6" s="11">
        <f t="shared" ref="H6:H13" si="1">H5*$B$2+H5</f>
        <v>13677.410563361876</v>
      </c>
      <c r="J6" t="s">
        <v>1218</v>
      </c>
      <c r="K6" s="11">
        <f t="shared" ref="K6:K13" si="2">K5*$B$2+K5</f>
        <v>32576.577447326159</v>
      </c>
      <c r="M6" t="s">
        <v>1218</v>
      </c>
      <c r="N6" s="11">
        <f t="shared" ref="N6:N13" si="3">N5*$B$2+N5</f>
        <v>77590.227570151328</v>
      </c>
      <c r="P6" t="s">
        <v>1218</v>
      </c>
      <c r="Q6" s="11">
        <f t="shared" ref="Q6:Q13" si="4">Q5*$B$2+Q5</f>
        <v>184802.82111041731</v>
      </c>
    </row>
    <row r="7" spans="1:18" x14ac:dyDescent="0.25">
      <c r="D7" t="s">
        <v>1219</v>
      </c>
      <c r="E7" s="11">
        <f t="shared" si="0"/>
        <v>6173.2061025390622</v>
      </c>
      <c r="G7" t="s">
        <v>1219</v>
      </c>
      <c r="H7" s="11">
        <f t="shared" si="1"/>
        <v>14703.216355614017</v>
      </c>
      <c r="J7" t="s">
        <v>1219</v>
      </c>
      <c r="K7" s="11">
        <f t="shared" si="2"/>
        <v>35019.820755875618</v>
      </c>
      <c r="M7" t="s">
        <v>1219</v>
      </c>
      <c r="N7" s="11">
        <f t="shared" si="3"/>
        <v>83409.494637912678</v>
      </c>
      <c r="P7" t="s">
        <v>1219</v>
      </c>
      <c r="Q7" s="11">
        <f t="shared" si="4"/>
        <v>198663.03269369859</v>
      </c>
    </row>
    <row r="8" spans="1:18" x14ac:dyDescent="0.25">
      <c r="D8" t="s">
        <v>1220</v>
      </c>
      <c r="E8" s="11">
        <f t="shared" si="0"/>
        <v>6636.1965602294922</v>
      </c>
      <c r="G8" t="s">
        <v>1220</v>
      </c>
      <c r="H8" s="11">
        <f t="shared" si="1"/>
        <v>15805.957582285067</v>
      </c>
      <c r="J8" t="s">
        <v>1220</v>
      </c>
      <c r="K8" s="11">
        <f t="shared" si="2"/>
        <v>37646.307312566292</v>
      </c>
      <c r="M8" t="s">
        <v>1220</v>
      </c>
      <c r="N8" s="11">
        <f t="shared" si="3"/>
        <v>89665.206735756132</v>
      </c>
      <c r="P8" t="s">
        <v>1220</v>
      </c>
      <c r="Q8" s="11">
        <f t="shared" si="4"/>
        <v>213562.76014572597</v>
      </c>
    </row>
    <row r="9" spans="1:18" x14ac:dyDescent="0.25">
      <c r="D9" t="s">
        <v>1221</v>
      </c>
      <c r="E9" s="11">
        <f t="shared" si="0"/>
        <v>7133.9113022467045</v>
      </c>
      <c r="G9" t="s">
        <v>1221</v>
      </c>
      <c r="H9" s="11">
        <f t="shared" si="1"/>
        <v>16991.404400956446</v>
      </c>
      <c r="J9" t="s">
        <v>1221</v>
      </c>
      <c r="K9" s="11">
        <f t="shared" si="2"/>
        <v>40469.780361008765</v>
      </c>
      <c r="M9" t="s">
        <v>1221</v>
      </c>
      <c r="N9" s="11">
        <f t="shared" si="3"/>
        <v>96390.097240937845</v>
      </c>
      <c r="P9" t="s">
        <v>1221</v>
      </c>
      <c r="Q9" s="11">
        <f t="shared" si="4"/>
        <v>229579.96715665542</v>
      </c>
    </row>
    <row r="10" spans="1:18" x14ac:dyDescent="0.25">
      <c r="D10" t="s">
        <v>1222</v>
      </c>
      <c r="E10" s="11">
        <f t="shared" si="0"/>
        <v>7668.9546499152075</v>
      </c>
      <c r="G10" t="s">
        <v>1222</v>
      </c>
      <c r="H10" s="11">
        <f t="shared" si="1"/>
        <v>18265.759731028178</v>
      </c>
      <c r="J10" t="s">
        <v>1222</v>
      </c>
      <c r="K10" s="11">
        <f t="shared" si="2"/>
        <v>43505.013888084424</v>
      </c>
      <c r="M10" t="s">
        <v>1222</v>
      </c>
      <c r="N10" s="11">
        <f t="shared" si="3"/>
        <v>103619.35453400818</v>
      </c>
      <c r="P10" t="s">
        <v>1222</v>
      </c>
      <c r="Q10" s="11">
        <f t="shared" si="4"/>
        <v>246798.46469340456</v>
      </c>
    </row>
    <row r="11" spans="1:18" x14ac:dyDescent="0.25">
      <c r="D11" t="s">
        <v>1223</v>
      </c>
      <c r="E11" s="11">
        <f t="shared" si="0"/>
        <v>8244.1262486588475</v>
      </c>
      <c r="G11" t="s">
        <v>1223</v>
      </c>
      <c r="H11" s="11">
        <f t="shared" si="1"/>
        <v>19635.691710855292</v>
      </c>
      <c r="J11" t="s">
        <v>1223</v>
      </c>
      <c r="K11" s="11">
        <f t="shared" si="2"/>
        <v>46767.889929690755</v>
      </c>
      <c r="M11" t="s">
        <v>1223</v>
      </c>
      <c r="N11" s="11">
        <f t="shared" si="3"/>
        <v>111390.80612405878</v>
      </c>
      <c r="P11" t="s">
        <v>1223</v>
      </c>
      <c r="Q11" s="11">
        <f t="shared" si="4"/>
        <v>265308.3495454099</v>
      </c>
    </row>
    <row r="12" spans="1:18" x14ac:dyDescent="0.25">
      <c r="D12" t="s">
        <v>1224</v>
      </c>
      <c r="E12" s="11">
        <f t="shared" si="0"/>
        <v>8862.4357173082608</v>
      </c>
      <c r="G12" t="s">
        <v>1224</v>
      </c>
      <c r="H12" s="11">
        <f t="shared" si="1"/>
        <v>21108.368589169437</v>
      </c>
      <c r="J12" t="s">
        <v>1224</v>
      </c>
      <c r="K12" s="11">
        <f t="shared" si="2"/>
        <v>50275.481674417562</v>
      </c>
      <c r="M12" t="s">
        <v>1224</v>
      </c>
      <c r="N12" s="11">
        <f t="shared" si="3"/>
        <v>119745.1165833632</v>
      </c>
      <c r="P12" t="s">
        <v>1224</v>
      </c>
      <c r="Q12" s="11">
        <f t="shared" si="4"/>
        <v>285206.47576131567</v>
      </c>
    </row>
    <row r="13" spans="1:18" x14ac:dyDescent="0.25">
      <c r="D13" t="s">
        <v>1225</v>
      </c>
      <c r="E13" s="11">
        <f t="shared" ref="E13" si="5">E12+E12*$B$2</f>
        <v>9527.1183961063798</v>
      </c>
      <c r="F13" s="12">
        <f>E13/$B$1-1</f>
        <v>1.3817795990265949</v>
      </c>
      <c r="G13" t="s">
        <v>1225</v>
      </c>
      <c r="H13" s="11">
        <f t="shared" si="1"/>
        <v>22691.496233357146</v>
      </c>
      <c r="I13" s="12">
        <f>H13/$B$1-1</f>
        <v>4.6728740583392865</v>
      </c>
      <c r="J13" t="s">
        <v>1225</v>
      </c>
      <c r="K13" s="11">
        <f t="shared" si="2"/>
        <v>54046.142799998881</v>
      </c>
      <c r="L13" s="12">
        <f>K13/$B$1-1</f>
        <v>12.511535699999721</v>
      </c>
      <c r="M13" t="s">
        <v>1225</v>
      </c>
      <c r="N13" s="11">
        <f t="shared" si="3"/>
        <v>128726.00032711544</v>
      </c>
      <c r="O13" s="12">
        <f>N13/$B$1-1</f>
        <v>31.181500081778857</v>
      </c>
      <c r="P13" t="s">
        <v>1225</v>
      </c>
      <c r="Q13" s="11">
        <f t="shared" si="4"/>
        <v>306596.96144341433</v>
      </c>
      <c r="R13" s="12">
        <f>Q13/N13</f>
        <v>2.3817795990265949</v>
      </c>
    </row>
    <row r="14" spans="1:18" x14ac:dyDescent="0.25">
      <c r="B14" s="11"/>
    </row>
  </sheetData>
  <mergeCells count="5">
    <mergeCell ref="D1:E1"/>
    <mergeCell ref="G1:H1"/>
    <mergeCell ref="J1:K1"/>
    <mergeCell ref="M1:N1"/>
    <mergeCell ref="P1:Q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N19"/>
  <sheetViews>
    <sheetView topLeftCell="F1048564" zoomScale="160" zoomScaleNormal="160" workbookViewId="0">
      <selection activeCell="K2" sqref="K2:M1048576"/>
    </sheetView>
  </sheetViews>
  <sheetFormatPr defaultRowHeight="15" x14ac:dyDescent="0.25"/>
  <cols>
    <col min="1" max="1" width="7.28515625" bestFit="1" customWidth="1"/>
  </cols>
  <sheetData>
    <row r="1" spans="1:14" x14ac:dyDescent="0.25">
      <c r="A1" t="s">
        <v>1253</v>
      </c>
      <c r="B1" s="41" t="s">
        <v>1252</v>
      </c>
      <c r="C1" s="42"/>
      <c r="D1" s="43"/>
      <c r="E1" s="39" t="s">
        <v>1254</v>
      </c>
      <c r="F1" s="39"/>
      <c r="G1" s="39"/>
      <c r="H1" s="39" t="s">
        <v>1255</v>
      </c>
      <c r="I1" s="39"/>
      <c r="J1" s="39"/>
      <c r="K1" s="39" t="s">
        <v>1256</v>
      </c>
      <c r="L1" s="39"/>
      <c r="M1" s="39"/>
      <c r="N1" t="s">
        <v>1253</v>
      </c>
    </row>
    <row r="2" spans="1:14" x14ac:dyDescent="0.25">
      <c r="A2">
        <v>5</v>
      </c>
      <c r="B2" s="40">
        <v>2.02</v>
      </c>
      <c r="C2" s="40">
        <v>2.04</v>
      </c>
      <c r="D2" s="40"/>
      <c r="E2" s="40">
        <v>1.66</v>
      </c>
      <c r="F2" s="40">
        <v>1.61</v>
      </c>
      <c r="G2" s="40">
        <v>1.58</v>
      </c>
      <c r="H2" s="40"/>
      <c r="I2" s="40"/>
      <c r="J2" s="40"/>
      <c r="K2" s="40"/>
      <c r="L2" s="40"/>
      <c r="M2" s="40"/>
      <c r="N2">
        <v>5</v>
      </c>
    </row>
    <row r="3" spans="1:14" x14ac:dyDescent="0.25">
      <c r="A3">
        <v>10</v>
      </c>
      <c r="B3" s="40">
        <v>2.14</v>
      </c>
      <c r="C3" s="40">
        <v>1.8</v>
      </c>
      <c r="D3" s="40"/>
      <c r="E3" s="40">
        <v>1.66</v>
      </c>
      <c r="F3" s="40">
        <v>1.53</v>
      </c>
      <c r="G3" s="40">
        <v>1.51</v>
      </c>
      <c r="H3" s="40"/>
      <c r="I3" s="40"/>
      <c r="J3" s="40"/>
      <c r="K3" s="40"/>
      <c r="L3" s="40"/>
      <c r="M3" s="40">
        <v>2.66</v>
      </c>
      <c r="N3">
        <v>10</v>
      </c>
    </row>
    <row r="4" spans="1:14" x14ac:dyDescent="0.25">
      <c r="A4">
        <v>15</v>
      </c>
      <c r="B4" s="40">
        <v>1.79</v>
      </c>
      <c r="C4" s="40">
        <v>1.68</v>
      </c>
      <c r="D4" s="40"/>
      <c r="E4" s="40">
        <v>1.56</v>
      </c>
      <c r="F4" s="40">
        <v>1.45</v>
      </c>
      <c r="G4" s="40">
        <v>1.48</v>
      </c>
      <c r="H4" s="40"/>
      <c r="I4" s="40"/>
      <c r="J4" s="40"/>
      <c r="K4" s="40"/>
      <c r="L4" s="40"/>
      <c r="M4" s="40">
        <v>2.42</v>
      </c>
      <c r="N4">
        <v>15</v>
      </c>
    </row>
    <row r="5" spans="1:14" x14ac:dyDescent="0.25">
      <c r="A5">
        <v>20</v>
      </c>
      <c r="B5" s="40">
        <v>1.67</v>
      </c>
      <c r="C5" s="40">
        <v>1.58</v>
      </c>
      <c r="D5" s="40"/>
      <c r="E5" s="40">
        <v>1.46</v>
      </c>
      <c r="F5" s="40">
        <v>1.44</v>
      </c>
      <c r="G5" s="40">
        <v>1.41</v>
      </c>
      <c r="H5" s="40"/>
      <c r="I5" s="40"/>
      <c r="J5" s="40"/>
      <c r="K5" s="40"/>
      <c r="L5" s="40"/>
      <c r="M5" s="40">
        <v>2.2999999999999998</v>
      </c>
      <c r="N5">
        <v>20</v>
      </c>
    </row>
    <row r="6" spans="1:14" x14ac:dyDescent="0.25">
      <c r="A6">
        <v>25</v>
      </c>
      <c r="B6" s="40">
        <v>1.57</v>
      </c>
      <c r="C6" s="40">
        <v>1.48</v>
      </c>
      <c r="D6" s="40">
        <v>2.72</v>
      </c>
      <c r="E6" s="40">
        <v>1.48</v>
      </c>
      <c r="F6" s="40">
        <v>1.36</v>
      </c>
      <c r="G6" s="40">
        <v>1.36</v>
      </c>
      <c r="H6" s="40">
        <v>6.2</v>
      </c>
      <c r="I6" s="40"/>
      <c r="J6" s="40"/>
      <c r="K6" s="40"/>
      <c r="L6" s="40">
        <v>1.8</v>
      </c>
      <c r="M6" s="40">
        <v>2.14</v>
      </c>
      <c r="N6">
        <v>25</v>
      </c>
    </row>
    <row r="7" spans="1:14" x14ac:dyDescent="0.25">
      <c r="A7">
        <v>30</v>
      </c>
      <c r="B7" s="40">
        <v>1.46</v>
      </c>
      <c r="C7" s="40">
        <v>1.4</v>
      </c>
      <c r="D7" s="40">
        <v>2.42</v>
      </c>
      <c r="E7" s="40">
        <v>1.38</v>
      </c>
      <c r="F7" s="40">
        <v>1.3</v>
      </c>
      <c r="G7" s="40">
        <v>1.3</v>
      </c>
      <c r="H7" s="40">
        <v>5.4</v>
      </c>
      <c r="I7" s="40"/>
      <c r="J7" s="40"/>
      <c r="K7" s="40"/>
      <c r="L7" s="40">
        <v>1.72</v>
      </c>
      <c r="M7" s="40">
        <v>2</v>
      </c>
      <c r="N7">
        <v>30</v>
      </c>
    </row>
    <row r="8" spans="1:14" x14ac:dyDescent="0.25">
      <c r="A8">
        <v>35</v>
      </c>
      <c r="B8" s="40">
        <v>1.42</v>
      </c>
      <c r="C8" s="40">
        <v>1.33</v>
      </c>
      <c r="D8" s="40">
        <v>2.2400000000000002</v>
      </c>
      <c r="E8" s="40">
        <v>1.32</v>
      </c>
      <c r="F8" s="40">
        <v>1.31</v>
      </c>
      <c r="G8" s="40">
        <v>1.24</v>
      </c>
      <c r="H8" s="40">
        <v>4.8</v>
      </c>
      <c r="I8" s="40"/>
      <c r="J8" s="40"/>
      <c r="K8" s="40"/>
      <c r="L8" s="40">
        <v>1.61</v>
      </c>
      <c r="M8" s="40">
        <v>1.79</v>
      </c>
      <c r="N8">
        <v>35</v>
      </c>
    </row>
    <row r="9" spans="1:14" x14ac:dyDescent="0.25">
      <c r="A9">
        <v>40</v>
      </c>
      <c r="B9" s="40">
        <v>1.34</v>
      </c>
      <c r="C9" s="40">
        <v>1.29</v>
      </c>
      <c r="D9" s="40">
        <v>2.12</v>
      </c>
      <c r="E9" s="40">
        <v>1.25</v>
      </c>
      <c r="F9" s="40">
        <v>1.22</v>
      </c>
      <c r="G9" s="40">
        <v>1.2</v>
      </c>
      <c r="H9" s="40">
        <v>4.0999999999999996</v>
      </c>
      <c r="I9" s="40"/>
      <c r="J9" s="40"/>
      <c r="K9" s="40">
        <v>1.6</v>
      </c>
      <c r="L9" s="40">
        <v>1.52</v>
      </c>
      <c r="M9" s="40">
        <v>1.68</v>
      </c>
      <c r="N9">
        <v>40</v>
      </c>
    </row>
    <row r="10" spans="1:14" x14ac:dyDescent="0.25">
      <c r="A10">
        <v>45</v>
      </c>
      <c r="B10" s="40">
        <v>1.29</v>
      </c>
      <c r="C10" s="40">
        <v>1.24</v>
      </c>
      <c r="D10" s="40">
        <v>1.96</v>
      </c>
      <c r="E10" s="40">
        <v>1.18</v>
      </c>
      <c r="F10" s="40">
        <v>1.18</v>
      </c>
      <c r="G10" s="40">
        <v>1.17</v>
      </c>
      <c r="H10" s="40">
        <v>3.7</v>
      </c>
      <c r="I10" s="40"/>
      <c r="J10" s="40"/>
      <c r="K10" s="40">
        <v>1.53</v>
      </c>
      <c r="L10" s="40">
        <v>1.47</v>
      </c>
      <c r="M10" s="40">
        <v>1.58</v>
      </c>
      <c r="N10">
        <v>45</v>
      </c>
    </row>
    <row r="11" spans="1:14" x14ac:dyDescent="0.25">
      <c r="A11">
        <v>50</v>
      </c>
      <c r="B11" s="40">
        <v>1.23</v>
      </c>
      <c r="C11" s="40">
        <v>1.17</v>
      </c>
      <c r="D11" s="40">
        <v>1.75</v>
      </c>
      <c r="E11" s="40">
        <v>1.1499999999999999</v>
      </c>
      <c r="F11" s="40">
        <v>1.1399999999999999</v>
      </c>
      <c r="G11" s="40"/>
      <c r="H11" s="40">
        <v>3.05</v>
      </c>
      <c r="I11" s="40"/>
      <c r="J11" s="40"/>
      <c r="K11" s="40">
        <v>1.41</v>
      </c>
      <c r="L11" s="40">
        <v>1.37</v>
      </c>
      <c r="M11" s="40">
        <v>1.45</v>
      </c>
      <c r="N11">
        <v>50</v>
      </c>
    </row>
    <row r="12" spans="1:14" x14ac:dyDescent="0.25">
      <c r="A12">
        <v>55</v>
      </c>
      <c r="B12" s="40">
        <v>1.1599999999999999</v>
      </c>
      <c r="C12" s="40">
        <v>1.1200000000000001</v>
      </c>
      <c r="D12" s="40">
        <v>1.59</v>
      </c>
      <c r="E12" s="40">
        <v>1.1000000000000001</v>
      </c>
      <c r="F12" s="40"/>
      <c r="G12" s="40"/>
      <c r="H12" s="40">
        <v>2.94</v>
      </c>
      <c r="I12" s="40"/>
      <c r="J12" s="40">
        <v>3.6</v>
      </c>
      <c r="K12" s="40">
        <v>1.34</v>
      </c>
      <c r="L12" s="40">
        <v>1.38</v>
      </c>
      <c r="M12" s="40">
        <v>1.34</v>
      </c>
      <c r="N12">
        <v>55</v>
      </c>
    </row>
    <row r="13" spans="1:14" x14ac:dyDescent="0.25">
      <c r="A13">
        <v>60</v>
      </c>
      <c r="B13" s="40">
        <v>1.1000000000000001</v>
      </c>
      <c r="C13" s="40">
        <v>1.1000000000000001</v>
      </c>
      <c r="D13" s="40">
        <v>1.48</v>
      </c>
      <c r="E13" s="40"/>
      <c r="F13" s="40"/>
      <c r="G13" s="40"/>
      <c r="H13" s="40">
        <v>2.58</v>
      </c>
      <c r="I13" s="40"/>
      <c r="J13" s="40">
        <v>2.94</v>
      </c>
      <c r="K13" s="40">
        <v>1.27</v>
      </c>
      <c r="L13" s="40">
        <v>1.33</v>
      </c>
      <c r="M13" s="40">
        <v>1.27</v>
      </c>
      <c r="N13">
        <v>60</v>
      </c>
    </row>
    <row r="14" spans="1:14" x14ac:dyDescent="0.25">
      <c r="A14">
        <v>65</v>
      </c>
      <c r="B14" s="40"/>
      <c r="C14" s="40"/>
      <c r="D14" s="40">
        <v>1.36</v>
      </c>
      <c r="E14" s="40"/>
      <c r="F14" s="40"/>
      <c r="G14" s="40"/>
      <c r="H14" s="40">
        <v>2.2799999999999998</v>
      </c>
      <c r="I14" s="40">
        <v>2.36</v>
      </c>
      <c r="J14" s="40">
        <v>2.62</v>
      </c>
      <c r="K14" s="40">
        <v>1.18</v>
      </c>
      <c r="L14" s="40"/>
      <c r="M14" s="40">
        <v>1.2</v>
      </c>
      <c r="N14">
        <v>65</v>
      </c>
    </row>
    <row r="15" spans="1:14" x14ac:dyDescent="0.25">
      <c r="A15">
        <v>70</v>
      </c>
      <c r="B15" s="40"/>
      <c r="C15" s="40"/>
      <c r="D15" s="40">
        <v>1.25</v>
      </c>
      <c r="E15" s="40"/>
      <c r="F15" s="40"/>
      <c r="G15" s="40"/>
      <c r="H15" s="40">
        <v>20.2</v>
      </c>
      <c r="I15" s="40">
        <v>2.04</v>
      </c>
      <c r="J15" s="40">
        <v>2.58</v>
      </c>
      <c r="K15" s="40">
        <v>1.1599999999999999</v>
      </c>
      <c r="L15" s="40"/>
      <c r="M15" s="40"/>
      <c r="N15">
        <v>70</v>
      </c>
    </row>
    <row r="16" spans="1:14" x14ac:dyDescent="0.25">
      <c r="A16">
        <v>75</v>
      </c>
      <c r="B16" s="40"/>
      <c r="C16" s="40"/>
      <c r="D16" s="40">
        <v>1.1499999999999999</v>
      </c>
      <c r="E16" s="40"/>
      <c r="F16" s="40"/>
      <c r="G16" s="40"/>
      <c r="H16" s="40">
        <v>1.73</v>
      </c>
      <c r="I16" s="40">
        <v>1.84</v>
      </c>
      <c r="J16" s="40">
        <v>2.42</v>
      </c>
      <c r="K16" s="40">
        <v>1.0900000000000001</v>
      </c>
      <c r="L16" s="40"/>
      <c r="M16" s="40"/>
      <c r="N16">
        <v>75</v>
      </c>
    </row>
    <row r="17" spans="1:14" x14ac:dyDescent="0.25">
      <c r="A17">
        <v>80</v>
      </c>
      <c r="B17" s="40"/>
      <c r="C17" s="40"/>
      <c r="D17" s="40">
        <v>1.0900000000000001</v>
      </c>
      <c r="E17" s="40"/>
      <c r="F17" s="40"/>
      <c r="G17" s="40"/>
      <c r="H17" s="40">
        <v>1.54</v>
      </c>
      <c r="I17" s="40">
        <v>1.58</v>
      </c>
      <c r="J17" s="40"/>
      <c r="K17" s="40"/>
      <c r="L17" s="40"/>
      <c r="M17" s="40"/>
      <c r="N17">
        <v>80</v>
      </c>
    </row>
    <row r="18" spans="1:14" x14ac:dyDescent="0.25">
      <c r="A18">
        <v>85</v>
      </c>
      <c r="B18" s="40"/>
      <c r="C18" s="40"/>
      <c r="D18" s="40"/>
      <c r="E18" s="40"/>
      <c r="F18" s="40"/>
      <c r="G18" s="40"/>
      <c r="H18" s="40"/>
      <c r="I18" s="40">
        <v>1.34</v>
      </c>
      <c r="J18" s="40"/>
      <c r="K18" s="40"/>
      <c r="L18" s="40"/>
      <c r="M18" s="40"/>
      <c r="N18">
        <v>85</v>
      </c>
    </row>
    <row r="19" spans="1:14" x14ac:dyDescent="0.25">
      <c r="A19">
        <v>90</v>
      </c>
      <c r="B19" s="40"/>
      <c r="C19" s="40"/>
      <c r="D19" s="40"/>
      <c r="E19" s="40"/>
      <c r="F19" s="40"/>
      <c r="G19" s="40"/>
      <c r="H19" s="40"/>
      <c r="I19" s="40">
        <v>1.23</v>
      </c>
      <c r="J19" s="40"/>
      <c r="K19" s="40"/>
      <c r="L19" s="40"/>
      <c r="M19" s="40"/>
      <c r="N19">
        <v>90</v>
      </c>
    </row>
  </sheetData>
  <mergeCells count="4">
    <mergeCell ref="B1:D1"/>
    <mergeCell ref="E1:G1"/>
    <mergeCell ref="H1:J1"/>
    <mergeCell ref="K1:M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1:O19"/>
  <sheetViews>
    <sheetView topLeftCell="A7" workbookViewId="0">
      <selection activeCell="N3" sqref="N3"/>
    </sheetView>
  </sheetViews>
  <sheetFormatPr defaultRowHeight="15" x14ac:dyDescent="0.25"/>
  <cols>
    <col min="7" max="7" width="15" customWidth="1"/>
    <col min="8" max="8" width="7.28515625" bestFit="1" customWidth="1"/>
    <col min="9" max="9" width="9.140625" style="46"/>
    <col min="10" max="10" width="7.42578125" style="47" customWidth="1"/>
    <col min="11" max="11" width="9.140625" style="48"/>
    <col min="15" max="15" width="7.28515625" bestFit="1" customWidth="1"/>
  </cols>
  <sheetData>
    <row r="1" spans="8:15" x14ac:dyDescent="0.25">
      <c r="H1">
        <v>5</v>
      </c>
      <c r="I1" s="44"/>
      <c r="J1" s="45"/>
      <c r="K1" s="49"/>
      <c r="L1" s="51"/>
      <c r="M1" s="53"/>
      <c r="N1" s="55"/>
      <c r="O1">
        <v>5</v>
      </c>
    </row>
    <row r="2" spans="8:15" x14ac:dyDescent="0.25">
      <c r="H2">
        <v>10</v>
      </c>
      <c r="K2" s="50">
        <v>2.66</v>
      </c>
      <c r="L2" s="52">
        <f>(I2-I1)*100</f>
        <v>0</v>
      </c>
      <c r="M2" s="54">
        <f t="shared" ref="M2:N17" si="0">(J2-J1)*100</f>
        <v>0</v>
      </c>
      <c r="N2" s="56">
        <f t="shared" si="0"/>
        <v>266</v>
      </c>
      <c r="O2">
        <v>10</v>
      </c>
    </row>
    <row r="3" spans="8:15" x14ac:dyDescent="0.25">
      <c r="H3">
        <v>15</v>
      </c>
      <c r="K3" s="50">
        <v>2.42</v>
      </c>
      <c r="L3" s="52">
        <f t="shared" ref="L3:L18" si="1">(I3-I2)*100</f>
        <v>0</v>
      </c>
      <c r="M3" s="54">
        <f t="shared" si="0"/>
        <v>0</v>
      </c>
      <c r="N3" s="56">
        <f t="shared" si="0"/>
        <v>-24.000000000000021</v>
      </c>
      <c r="O3">
        <v>15</v>
      </c>
    </row>
    <row r="4" spans="8:15" x14ac:dyDescent="0.25">
      <c r="H4">
        <v>20</v>
      </c>
      <c r="K4" s="50">
        <v>2.2999999999999998</v>
      </c>
      <c r="L4" s="52">
        <f t="shared" si="1"/>
        <v>0</v>
      </c>
      <c r="M4" s="54">
        <f t="shared" si="0"/>
        <v>0</v>
      </c>
      <c r="N4" s="56">
        <f t="shared" si="0"/>
        <v>-12.000000000000011</v>
      </c>
      <c r="O4">
        <v>20</v>
      </c>
    </row>
    <row r="5" spans="8:15" x14ac:dyDescent="0.25">
      <c r="H5">
        <v>25</v>
      </c>
      <c r="J5" s="47">
        <v>1.8</v>
      </c>
      <c r="K5" s="50">
        <v>2.14</v>
      </c>
      <c r="L5" s="52">
        <f t="shared" si="1"/>
        <v>0</v>
      </c>
      <c r="M5" s="54">
        <f t="shared" si="0"/>
        <v>180</v>
      </c>
      <c r="N5" s="56">
        <f t="shared" si="0"/>
        <v>-15.99999999999997</v>
      </c>
      <c r="O5">
        <v>25</v>
      </c>
    </row>
    <row r="6" spans="8:15" x14ac:dyDescent="0.25">
      <c r="H6">
        <v>30</v>
      </c>
      <c r="J6" s="47">
        <v>1.72</v>
      </c>
      <c r="K6" s="50">
        <v>2</v>
      </c>
      <c r="L6" s="52">
        <f t="shared" si="1"/>
        <v>0</v>
      </c>
      <c r="M6" s="54">
        <f t="shared" si="0"/>
        <v>-8.0000000000000071</v>
      </c>
      <c r="N6" s="56">
        <f t="shared" si="0"/>
        <v>-14.000000000000012</v>
      </c>
      <c r="O6">
        <v>30</v>
      </c>
    </row>
    <row r="7" spans="8:15" x14ac:dyDescent="0.25">
      <c r="H7">
        <v>35</v>
      </c>
      <c r="J7" s="47">
        <v>1.61</v>
      </c>
      <c r="K7" s="50">
        <v>1.79</v>
      </c>
      <c r="L7" s="52">
        <f t="shared" si="1"/>
        <v>0</v>
      </c>
      <c r="M7" s="54">
        <f t="shared" si="0"/>
        <v>-10.999999999999988</v>
      </c>
      <c r="N7" s="56">
        <f t="shared" si="0"/>
        <v>-20.999999999999996</v>
      </c>
      <c r="O7">
        <v>35</v>
      </c>
    </row>
    <row r="8" spans="8:15" x14ac:dyDescent="0.25">
      <c r="H8">
        <v>40</v>
      </c>
      <c r="I8" s="46">
        <v>1.6</v>
      </c>
      <c r="J8" s="47">
        <v>1.52</v>
      </c>
      <c r="K8" s="50">
        <v>1.68</v>
      </c>
      <c r="L8" s="52">
        <f t="shared" si="1"/>
        <v>160</v>
      </c>
      <c r="M8" s="54">
        <f t="shared" si="0"/>
        <v>-9.0000000000000071</v>
      </c>
      <c r="N8" s="56">
        <f t="shared" si="0"/>
        <v>-11.000000000000011</v>
      </c>
      <c r="O8">
        <v>40</v>
      </c>
    </row>
    <row r="9" spans="8:15" x14ac:dyDescent="0.25">
      <c r="H9">
        <v>45</v>
      </c>
      <c r="I9" s="46">
        <v>1.53</v>
      </c>
      <c r="J9" s="47">
        <v>1.47</v>
      </c>
      <c r="K9" s="50">
        <v>1.58</v>
      </c>
      <c r="L9" s="52">
        <f t="shared" si="1"/>
        <v>-7.0000000000000062</v>
      </c>
      <c r="M9" s="54">
        <f t="shared" si="0"/>
        <v>-5.0000000000000044</v>
      </c>
      <c r="N9" s="56">
        <f t="shared" si="0"/>
        <v>-9.9999999999999858</v>
      </c>
      <c r="O9">
        <v>45</v>
      </c>
    </row>
    <row r="10" spans="8:15" x14ac:dyDescent="0.25">
      <c r="H10">
        <v>50</v>
      </c>
      <c r="I10" s="46">
        <v>1.41</v>
      </c>
      <c r="J10" s="47">
        <v>1.37</v>
      </c>
      <c r="K10" s="50">
        <v>1.45</v>
      </c>
      <c r="L10" s="52">
        <f t="shared" si="1"/>
        <v>-12.000000000000011</v>
      </c>
      <c r="M10" s="54">
        <f t="shared" si="0"/>
        <v>-9.9999999999999858</v>
      </c>
      <c r="N10" s="56">
        <f t="shared" si="0"/>
        <v>-13.000000000000011</v>
      </c>
      <c r="O10">
        <v>50</v>
      </c>
    </row>
    <row r="11" spans="8:15" x14ac:dyDescent="0.25">
      <c r="H11">
        <v>55</v>
      </c>
      <c r="I11" s="46">
        <v>1.34</v>
      </c>
      <c r="J11" s="47">
        <v>1.38</v>
      </c>
      <c r="K11" s="50">
        <v>1.34</v>
      </c>
      <c r="L11" s="52">
        <f t="shared" si="1"/>
        <v>-6.999999999999984</v>
      </c>
      <c r="M11" s="54">
        <f t="shared" si="0"/>
        <v>0.99999999999997868</v>
      </c>
      <c r="N11" s="56">
        <f t="shared" si="0"/>
        <v>-10.999999999999988</v>
      </c>
      <c r="O11">
        <v>55</v>
      </c>
    </row>
    <row r="12" spans="8:15" x14ac:dyDescent="0.25">
      <c r="H12">
        <v>60</v>
      </c>
      <c r="I12" s="46">
        <v>1.27</v>
      </c>
      <c r="J12" s="47">
        <v>1.33</v>
      </c>
      <c r="K12" s="50">
        <v>1.27</v>
      </c>
      <c r="L12" s="52">
        <f t="shared" si="1"/>
        <v>-7.0000000000000062</v>
      </c>
      <c r="M12" s="54">
        <f t="shared" si="0"/>
        <v>-4.9999999999999822</v>
      </c>
      <c r="N12" s="56">
        <f t="shared" si="0"/>
        <v>-7.0000000000000062</v>
      </c>
      <c r="O12">
        <v>60</v>
      </c>
    </row>
    <row r="13" spans="8:15" x14ac:dyDescent="0.25">
      <c r="H13">
        <v>65</v>
      </c>
      <c r="I13" s="46">
        <v>1.18</v>
      </c>
      <c r="K13" s="50">
        <v>1.2</v>
      </c>
      <c r="L13" s="52">
        <f t="shared" si="1"/>
        <v>-9.0000000000000071</v>
      </c>
      <c r="M13" s="54">
        <f t="shared" si="0"/>
        <v>-133</v>
      </c>
      <c r="N13" s="56">
        <f t="shared" si="0"/>
        <v>-7.0000000000000062</v>
      </c>
      <c r="O13">
        <v>65</v>
      </c>
    </row>
    <row r="14" spans="8:15" x14ac:dyDescent="0.25">
      <c r="H14">
        <v>70</v>
      </c>
      <c r="I14" s="46">
        <v>1.1599999999999999</v>
      </c>
      <c r="K14" s="50"/>
      <c r="L14" s="52">
        <f t="shared" si="1"/>
        <v>-2.0000000000000018</v>
      </c>
      <c r="M14" s="54">
        <f t="shared" si="0"/>
        <v>0</v>
      </c>
      <c r="N14" s="56">
        <f t="shared" si="0"/>
        <v>-120</v>
      </c>
      <c r="O14">
        <v>70</v>
      </c>
    </row>
    <row r="15" spans="8:15" x14ac:dyDescent="0.25">
      <c r="H15">
        <v>75</v>
      </c>
      <c r="I15" s="46">
        <v>1.0900000000000001</v>
      </c>
      <c r="K15" s="50"/>
      <c r="L15" s="52">
        <f t="shared" si="1"/>
        <v>-6.999999999999984</v>
      </c>
      <c r="M15" s="54">
        <f t="shared" si="0"/>
        <v>0</v>
      </c>
      <c r="N15" s="56">
        <f t="shared" si="0"/>
        <v>0</v>
      </c>
      <c r="O15">
        <v>75</v>
      </c>
    </row>
    <row r="16" spans="8:15" x14ac:dyDescent="0.25">
      <c r="H16">
        <v>80</v>
      </c>
      <c r="K16" s="50"/>
      <c r="L16" s="52">
        <f t="shared" si="1"/>
        <v>-109.00000000000001</v>
      </c>
      <c r="M16" s="54">
        <f t="shared" si="0"/>
        <v>0</v>
      </c>
      <c r="N16" s="56">
        <f t="shared" si="0"/>
        <v>0</v>
      </c>
      <c r="O16">
        <v>80</v>
      </c>
    </row>
    <row r="17" spans="8:15" x14ac:dyDescent="0.25">
      <c r="H17">
        <v>85</v>
      </c>
      <c r="K17" s="50"/>
      <c r="L17" s="52">
        <f t="shared" si="1"/>
        <v>0</v>
      </c>
      <c r="M17" s="54">
        <f t="shared" si="0"/>
        <v>0</v>
      </c>
      <c r="N17" s="56">
        <f t="shared" si="0"/>
        <v>0</v>
      </c>
      <c r="O17">
        <v>85</v>
      </c>
    </row>
    <row r="18" spans="8:15" x14ac:dyDescent="0.25">
      <c r="H18">
        <v>90</v>
      </c>
      <c r="K18" s="50"/>
      <c r="L18" s="52">
        <f t="shared" si="1"/>
        <v>0</v>
      </c>
      <c r="M18" s="54">
        <f t="shared" ref="M18" si="2">(J18-J17)*100</f>
        <v>0</v>
      </c>
      <c r="N18" s="56">
        <f t="shared" ref="N18" si="3">(K18-K17)*100</f>
        <v>0</v>
      </c>
      <c r="O18">
        <v>90</v>
      </c>
    </row>
    <row r="19" spans="8:15" x14ac:dyDescent="0.25">
      <c r="L19" s="38"/>
      <c r="M19" s="38"/>
      <c r="N19" s="38"/>
    </row>
  </sheetData>
  <conditionalFormatting sqref="L19:N1048576">
    <cfRule type="iconSet" priority="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3">
      <iconSet iconSet="4Rating">
        <cfvo type="percent" val="0"/>
        <cfvo type="percent" val="25"/>
        <cfvo type="percent" val="50"/>
        <cfvo type="percent" val="75"/>
      </iconSet>
    </cfRule>
    <cfRule type="cellIs" dxfId="1" priority="4" operator="equal">
      <formula>0</formula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ntainsErrors" dxfId="0" priority="8">
      <formula>ISERROR(L19)</formula>
    </cfRule>
  </conditionalFormatting>
  <conditionalFormatting sqref="L2:N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principal</vt:lpstr>
      <vt:lpstr>Afiliados</vt:lpstr>
      <vt:lpstr>sem reds</vt:lpstr>
      <vt:lpstr>com reds</vt:lpstr>
      <vt:lpstr>+-2.5</vt:lpstr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</dc:creator>
  <cp:lastModifiedBy>andre</cp:lastModifiedBy>
  <cp:lastPrinted>2020-04-24T14:12:04Z</cp:lastPrinted>
  <dcterms:created xsi:type="dcterms:W3CDTF">2020-04-20T22:04:07Z</dcterms:created>
  <dcterms:modified xsi:type="dcterms:W3CDTF">2020-04-28T02:39:05Z</dcterms:modified>
</cp:coreProperties>
</file>